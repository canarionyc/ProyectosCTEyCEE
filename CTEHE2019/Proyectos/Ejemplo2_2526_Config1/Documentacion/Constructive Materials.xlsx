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CTEyCEE\CTEHE2019\Proyectos\Ejemplo2_2526_Config1\Documentacion\"/>
    </mc:Choice>
  </mc:AlternateContent>
  <xr:revisionPtr revIDLastSave="0" documentId="13_ncr:1_{187B26F7-7806-4086-9049-C11770763884}" xr6:coauthVersionLast="47" xr6:coauthVersionMax="47" xr10:uidLastSave="{00000000-0000-0000-0000-000000000000}"/>
  <bookViews>
    <workbookView xWindow="1230" yWindow="410" windowWidth="24030" windowHeight="16330" activeTab="3" xr2:uid="{829F4AA1-FD7A-4B31-950F-C78552EFC445}"/>
  </bookViews>
  <sheets>
    <sheet name="Opaque Enclosures" sheetId="1" r:id="rId1"/>
    <sheet name="Openings details" sheetId="4" r:id="rId2"/>
    <sheet name="Openings" sheetId="2" r:id="rId3"/>
    <sheet name="Opaque Enclosures detail" sheetId="5" r:id="rId4"/>
    <sheet name="Thermal Bridges" sheetId="3" r:id="rId5"/>
    <sheet name="Thermal Bridges detail" sheetId="6" r:id="rId6"/>
    <sheet name="Sheet1" sheetId="7" r:id="rId7"/>
  </sheets>
  <definedNames>
    <definedName name="_xlnm._FilterDatabase" localSheetId="0" hidden="1">'Opaque Enclosures'!$A$1:$F$9</definedName>
    <definedName name="_xlnm._FilterDatabase" localSheetId="3" hidden="1">'Opaque Enclosures detail'!$A$1:$G$44</definedName>
    <definedName name="_xlnm._FilterDatabase" localSheetId="2" hidden="1">Openings!$A$1:$M$6</definedName>
    <definedName name="_xlnm._FilterDatabase" localSheetId="4" hidden="1">'Thermal Bridges'!$A$1:$D$11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H9" i="5"/>
  <c r="H3" i="5"/>
  <c r="H4" i="5"/>
  <c r="H5" i="5"/>
  <c r="H6" i="5"/>
  <c r="H7" i="5"/>
  <c r="H8" i="5"/>
  <c r="H2" i="5"/>
  <c r="D1" i="7"/>
  <c r="C2" i="7"/>
  <c r="C1" i="7"/>
  <c r="L16" i="5"/>
  <c r="I16" i="5"/>
  <c r="H11" i="5"/>
  <c r="H16" i="5" s="1"/>
  <c r="H12" i="5"/>
  <c r="H13" i="5"/>
  <c r="H14" i="5"/>
  <c r="H15" i="5"/>
</calcChain>
</file>

<file path=xl/sharedStrings.xml><?xml version="1.0" encoding="utf-8"?>
<sst xmlns="http://schemas.openxmlformats.org/spreadsheetml/2006/main" count="305" uniqueCount="187">
  <si>
    <t>Enclosure ID</t>
  </si>
  <si>
    <t>Type</t>
  </si>
  <si>
    <t>Description</t>
  </si>
  <si>
    <t>Thickness (m)</t>
  </si>
  <si>
    <t>U-Value (W/m²K)</t>
  </si>
  <si>
    <t>Notes</t>
  </si>
  <si>
    <t>MEXT</t>
  </si>
  <si>
    <t>Wall</t>
  </si>
  <si>
    <t>Exterior Wall (with SATE)</t>
  </si>
  <si>
    <t>Composition: Cement mortar, EPS, Brick, Air gap, Plasterboard</t>
  </si>
  <si>
    <t>MURO CAM SANIT</t>
  </si>
  <si>
    <t>Sanitary Cavity Wall</t>
  </si>
  <si>
    <t>Uncorrected for contact. Composition: Bitumen felt, Brick.</t>
  </si>
  <si>
    <t>MINT</t>
  </si>
  <si>
    <t>Interior Wall</t>
  </si>
  <si>
    <t>Corrected for contact with Non-Habitable space</t>
  </si>
  <si>
    <t>FOR INT</t>
  </si>
  <si>
    <t>Floor</t>
  </si>
  <si>
    <t>Intermediate Floor (Conditioned-Conditioned)</t>
  </si>
  <si>
    <t>Uncorrected for contact</t>
  </si>
  <si>
    <t>FOR INT AC-NH</t>
  </si>
  <si>
    <t>Intermediate Floor (Conditioned-Non Habitable)</t>
  </si>
  <si>
    <t>0.16/0.17</t>
  </si>
  <si>
    <t>Corrected for contact (whole/partial floor)</t>
  </si>
  <si>
    <t>FOR CAM SANIT</t>
  </si>
  <si>
    <t>Floor with Sanitary Cavity</t>
  </si>
  <si>
    <t>-</t>
  </si>
  <si>
    <t>SOL CAM SANIT</t>
  </si>
  <si>
    <t>Sanitary Cavity Slab on Grade</t>
  </si>
  <si>
    <t>Composition: Concrete, PVC sheet, Gravel</t>
  </si>
  <si>
    <t>CUB IN TEJA</t>
  </si>
  <si>
    <t>Roof</t>
  </si>
  <si>
    <t>Pitched Roof with Clay Tiles</t>
  </si>
  <si>
    <t>Composition: Clay tile, Ventilated air gap, XPS, Bitumen felt, EPS joist, Plasterboard</t>
  </si>
  <si>
    <t>Opening Type</t>
  </si>
  <si>
    <t>Location</t>
  </si>
  <si>
    <t>Frame Position</t>
  </si>
  <si>
    <t>Glass Type</t>
  </si>
  <si>
    <t>Glass Composition</t>
  </si>
  <si>
    <t>Solar Factor</t>
  </si>
  <si>
    <t>Frame Material</t>
  </si>
  <si>
    <t>Frame %</t>
  </si>
  <si>
    <t>Protection Type</t>
  </si>
  <si>
    <t>Air Permeability</t>
  </si>
  <si>
    <t>Facade</t>
  </si>
  <si>
    <t>North &amp; East</t>
  </si>
  <si>
    <t>Interior</t>
  </si>
  <si>
    <t>Double Low-E</t>
  </si>
  <si>
    <t>4-16-4 Argon</t>
  </si>
  <si>
    <t>PVC</t>
  </si>
  <si>
    <t>External Blinds</t>
  </si>
  <si>
    <t>9 m³/h·m² (Class 3)</t>
  </si>
  <si>
    <t>South &amp; West</t>
  </si>
  <si>
    <t>Door</t>
  </si>
  <si>
    <t>External</t>
  </si>
  <si>
    <t>Wood</t>
  </si>
  <si>
    <t>60 m³/h·m²</t>
  </si>
  <si>
    <t>Skylight</t>
  </si>
  <si>
    <t>South &amp; East</t>
  </si>
  <si>
    <t>Exterior</t>
  </si>
  <si>
    <t>North</t>
  </si>
  <si>
    <t>Thermal Bridge</t>
  </si>
  <si>
    <t>Catalog Group</t>
  </si>
  <si>
    <t>Ψ-Value (W/mK)</t>
  </si>
  <si>
    <t>Jambas</t>
  </si>
  <si>
    <t>Window Jambs (Facade)</t>
  </si>
  <si>
    <t>Group 1</t>
  </si>
  <si>
    <t>Skylight Jambs (Roof)</t>
  </si>
  <si>
    <t>Dinteles</t>
  </si>
  <si>
    <t>Skylight Lintels (Roof)</t>
  </si>
  <si>
    <t>Dinteles/Capitelados</t>
  </si>
  <si>
    <t>Window Lintels &amp; Headers (Facade)</t>
  </si>
  <si>
    <t>Alféizares</t>
  </si>
  <si>
    <t>Skylight Sills (Roof)</t>
  </si>
  <si>
    <t>Window Sills (Facade)</t>
  </si>
  <si>
    <t>Group 3</t>
  </si>
  <si>
    <t>Frentes de Forjado</t>
  </si>
  <si>
    <t>Slab Edges</t>
  </si>
  <si>
    <t>Cubierta Inclinada</t>
  </si>
  <si>
    <t>Pitched Roof (Continuous Insulation)</t>
  </si>
  <si>
    <t>Pitched Roof (Interrupted by Interior Partition)</t>
  </si>
  <si>
    <t>Group 2</t>
  </si>
  <si>
    <t>Esquinas</t>
  </si>
  <si>
    <t>External Corners</t>
  </si>
  <si>
    <t>CONFIGURACIÓN HUECOS EN FACHADA NORTE Y ESTE</t>
  </si>
  <si>
    <t>CONFIGURACIÓN HUECOS EN FACHADA SUR Y OESTE</t>
  </si>
  <si>
    <t>Glass U-Value (W/m²K)</t>
  </si>
  <si>
    <t>Frame U-Value (W/m²K)</t>
  </si>
  <si>
    <t>Whole Opening U-Value (W/m²K)</t>
  </si>
  <si>
    <t>CONFIGURACIÓN HUECO PUERTA ACCESO</t>
  </si>
  <si>
    <t>CONFIGURACIÓN LUCERNARIOS SUR Y ESTE</t>
  </si>
  <si>
    <t>CONFIGURACIÓN LUCERNARIOS NORTE</t>
  </si>
  <si>
    <t>Enclosure Type</t>
  </si>
  <si>
    <t>Code</t>
  </si>
  <si>
    <t>Layers</t>
  </si>
  <si>
    <t>Conductivity λ (W/m·K)</t>
  </si>
  <si>
    <t>Transmittance (W/m²K)</t>
  </si>
  <si>
    <t>MURO EXTERIOR</t>
  </si>
  <si>
    <t>1. Mortero de cemento</t>
  </si>
  <si>
    <t>2. EPS Poliestireno</t>
  </si>
  <si>
    <t>3. 1 pie LP métrico o catalán</t>
  </si>
  <si>
    <t>4. Mortero de cemento</t>
  </si>
  <si>
    <t>5. Cámara de aire sin ventilar vertical</t>
  </si>
  <si>
    <t>6. Placa de yeso laminado</t>
  </si>
  <si>
    <t>7. Placa de yeso laminado</t>
  </si>
  <si>
    <t>MURO DE CÁMARA SANITARIA</t>
  </si>
  <si>
    <t>1. Betún fieltro o lámina</t>
  </si>
  <si>
    <t>2. 1 pie LP métrico o catalán</t>
  </si>
  <si>
    <t>* Sin corregir por contacto</t>
  </si>
  <si>
    <t>MURO INTERIOR</t>
  </si>
  <si>
    <t>1. Placa de yeso laminado</t>
  </si>
  <si>
    <t>2. Placa de yeso laminado</t>
  </si>
  <si>
    <t>3. MW Lana mineral</t>
  </si>
  <si>
    <t>4. Placa de yeso laminado</t>
  </si>
  <si>
    <t>5. Placa de yeso laminado</t>
  </si>
  <si>
    <t>* Corregida por contacto con N.H. (ver anexo de cálculo)</t>
  </si>
  <si>
    <t>FORADO INTENDE ENTRE PLANTAS (AGOND-AGOND)</t>
  </si>
  <si>
    <t>1. Plaqueta de gres</t>
  </si>
  <si>
    <t>2. Mortero de cemento</t>
  </si>
  <si>
    <t>3. Mortero de cemento de difusión</t>
  </si>
  <si>
    <t>4. XPS Expandido</t>
  </si>
  <si>
    <t>5. FU entrevigado cerámico</t>
  </si>
  <si>
    <t>6. Cámara de aire sin ventilar horizontal</t>
  </si>
  <si>
    <t>FORADO INTENDE ENTRE PLANTAS (AGOND-NO HAB)</t>
  </si>
  <si>
    <t>3. XPS Expandido</t>
  </si>
  <si>
    <t>4. FU entrevigado cerámico</t>
  </si>
  <si>
    <t>5. Cámara de aire sin ventilar horizontal</t>
  </si>
  <si>
    <t>* Corregida por contacto con N.H. en toda la planta</t>
  </si>
  <si>
    <t>** Corregida por contacto parcial con N.H. en una parte de la planta</t>
  </si>
  <si>
    <t>FORADO CON CÁMARA SANITARIA</t>
  </si>
  <si>
    <t>5. Fojado Entrevigado EPS mecanizado</t>
  </si>
  <si>
    <t>6. Lámina de cloruro de polivinilo (PVC)</t>
  </si>
  <si>
    <t>SOLERA DE CÁMARA SANITARIA</t>
  </si>
  <si>
    <t>1. Hormigón en masa</t>
  </si>
  <si>
    <t>2. Lámina PVC</t>
  </si>
  <si>
    <t>3. Arena y grava</t>
  </si>
  <si>
    <t>CUBIERTA INCLINADA DE TEJA</t>
  </si>
  <si>
    <t>1. Teja de arcilla cocida</t>
  </si>
  <si>
    <t>2. Cámara aire ventilada, flujo ascend.</t>
  </si>
  <si>
    <t>4. Betún fieltro o lámina</t>
  </si>
  <si>
    <t>5. Forjado Entrevigado EPS mecanizado</t>
  </si>
  <si>
    <t>Glass U-value (W/m²K)</t>
  </si>
  <si>
    <t>Frame Color</t>
  </si>
  <si>
    <t>Frame U-value (W/m²K)</t>
  </si>
  <si>
    <t>Protection</t>
  </si>
  <si>
    <t>Protection Color</t>
  </si>
  <si>
    <t>ggi.sh.wi</t>
  </si>
  <si>
    <t>Class</t>
  </si>
  <si>
    <t>Overall U-value</t>
  </si>
  <si>
    <t>Huecos</t>
  </si>
  <si>
    <t>N/E</t>
  </si>
  <si>
    <t>Doble bajo emisivo &lt; 0.03</t>
  </si>
  <si>
    <t>4-16 Argón-4</t>
  </si>
  <si>
    <t>Blanco claro</t>
  </si>
  <si>
    <t>Persianas exteriores</t>
  </si>
  <si>
    <t>Blanco medio</t>
  </si>
  <si>
    <t>9 m³/h·m²</t>
  </si>
  <si>
    <t>0.76 W/m²·K</t>
  </si>
  <si>
    <t>S/O</t>
  </si>
  <si>
    <t>Puerta acceso</t>
  </si>
  <si>
    <t>PTA</t>
  </si>
  <si>
    <t>Madera densidad media alta</t>
  </si>
  <si>
    <t>2.2 W/m²·K</t>
  </si>
  <si>
    <t>Lucernarios</t>
  </si>
  <si>
    <t>S/E</t>
  </si>
  <si>
    <t>0.89 W/m²·K</t>
  </si>
  <si>
    <t>N</t>
  </si>
  <si>
    <t>Thermal Bridge Type</t>
  </si>
  <si>
    <t>Linear Thermal Transmittance Ψ (W/mK)</t>
  </si>
  <si>
    <t>JAMBAS EN HUECOS DE FACHADA</t>
  </si>
  <si>
    <t>Grupo 1</t>
  </si>
  <si>
    <t>JAMBAS EN LUCERNARIOS CUBIERTA</t>
  </si>
  <si>
    <t>DINTELES EN LUCERNARIOS DE CUBIERTA</t>
  </si>
  <si>
    <t>DINTELES Y CAPITIZADOS EN HUECOS DE FACHADA</t>
  </si>
  <si>
    <t>ALFÉIZARES EN LUCERNARIOS DE CUBIERTA</t>
  </si>
  <si>
    <t>ALFEIZARES EN HUECOS DE FACHADA</t>
  </si>
  <si>
    <t>Grupo 3</t>
  </si>
  <si>
    <t>FRENTES DE FORJADO</t>
  </si>
  <si>
    <t>CUBIERTAS INCLINADA</t>
  </si>
  <si>
    <t>CUBIERTAS INCLINADA (interrupción de cubierta con partición interior)</t>
  </si>
  <si>
    <t>Grupo 2</t>
  </si>
  <si>
    <t>ESQUINAS SALIENTES (AL EXTERIOR)</t>
  </si>
  <si>
    <t>TAB INT</t>
  </si>
  <si>
    <t>Re</t>
  </si>
  <si>
    <t>Ri</t>
  </si>
  <si>
    <t>Resistance (m^2 K / W)</t>
  </si>
  <si>
    <t xml:space="preserve">U W / (m^2 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</si>
</sst>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9FAFB"/>
      <name val="Segoe UI"/>
      <family val="2"/>
    </font>
    <font>
      <b/>
      <sz val="9"/>
      <color rgb="FFF9FAFB"/>
      <name val="Segoe U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9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 indent="1"/>
    </xf>
    <xf numFmtId="9" fontId="2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0" fillId="4" borderId="0" xfId="0" applyFill="1"/>
    <xf numFmtId="0" fontId="0" fillId="0" borderId="0" xfId="0" applyAlignment="1">
      <alignment wrapText="1"/>
    </xf>
    <xf numFmtId="0" fontId="0" fillId="4" borderId="0" xfId="0" applyFill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4" borderId="0" xfId="0" applyFill="1" applyAlignment="1">
      <alignment horizontal="center" wrapText="1"/>
    </xf>
    <xf numFmtId="164" fontId="0" fillId="0" borderId="0" xfId="1" applyNumberFormat="1" applyFont="1"/>
    <xf numFmtId="164" fontId="0" fillId="4" borderId="0" xfId="1" applyNumberFormat="1" applyFont="1" applyFill="1"/>
    <xf numFmtId="164" fontId="0" fillId="4" borderId="1" xfId="1" applyNumberFormat="1" applyFont="1" applyFill="1" applyBorder="1"/>
    <xf numFmtId="164" fontId="0" fillId="0" borderId="1" xfId="1" applyNumberFormat="1" applyFont="1" applyBorder="1"/>
    <xf numFmtId="0" fontId="1" fillId="0" borderId="0" xfId="0" applyFont="1" applyAlignment="1">
      <alignment wrapText="1"/>
    </xf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0A7F-D7E5-4DFB-80BF-D8B2F89CC2BE}">
  <dimension ref="A1:F9"/>
  <sheetViews>
    <sheetView workbookViewId="0">
      <selection activeCell="D4" sqref="D4"/>
    </sheetView>
  </sheetViews>
  <sheetFormatPr defaultRowHeight="14.5" x14ac:dyDescent="0.35"/>
  <cols>
    <col min="1" max="1" width="14.6328125" bestFit="1" customWidth="1"/>
    <col min="2" max="2" width="6.54296875" bestFit="1" customWidth="1"/>
    <col min="3" max="3" width="37.36328125" bestFit="1" customWidth="1"/>
    <col min="4" max="4" width="12.90625" bestFit="1" customWidth="1"/>
    <col min="5" max="5" width="15.90625" bestFit="1" customWidth="1"/>
    <col min="6" max="6" width="62.81640625" bestFit="1" customWidth="1"/>
  </cols>
  <sheetData>
    <row r="1" spans="1:6" s="3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4" t="s">
        <v>6</v>
      </c>
      <c r="B2" s="4" t="s">
        <v>7</v>
      </c>
      <c r="C2" s="4" t="s">
        <v>8</v>
      </c>
      <c r="D2" s="4">
        <v>0.5</v>
      </c>
      <c r="E2" s="4">
        <v>0.22</v>
      </c>
      <c r="F2" s="4" t="s">
        <v>9</v>
      </c>
    </row>
    <row r="3" spans="1:6" x14ac:dyDescent="0.35">
      <c r="A3" s="4" t="s">
        <v>10</v>
      </c>
      <c r="B3" s="4" t="s">
        <v>7</v>
      </c>
      <c r="C3" s="4" t="s">
        <v>11</v>
      </c>
      <c r="D3" s="4">
        <v>0.249</v>
      </c>
      <c r="E3" s="4">
        <v>1.76</v>
      </c>
      <c r="F3" s="4" t="s">
        <v>12</v>
      </c>
    </row>
    <row r="4" spans="1:6" x14ac:dyDescent="0.35">
      <c r="A4" s="4" t="s">
        <v>13</v>
      </c>
      <c r="B4" s="4" t="s">
        <v>7</v>
      </c>
      <c r="C4" s="4" t="s">
        <v>14</v>
      </c>
      <c r="D4" s="4">
        <v>9.1999999999999998E-2</v>
      </c>
      <c r="E4" s="7">
        <v>0.46</v>
      </c>
      <c r="F4" s="4" t="s">
        <v>15</v>
      </c>
    </row>
    <row r="5" spans="1:6" x14ac:dyDescent="0.35">
      <c r="A5" s="4" t="s">
        <v>16</v>
      </c>
      <c r="B5" s="4" t="s">
        <v>17</v>
      </c>
      <c r="C5" s="4" t="s">
        <v>18</v>
      </c>
      <c r="D5" s="4">
        <v>0.5</v>
      </c>
      <c r="E5" s="4">
        <v>0.37</v>
      </c>
      <c r="F5" s="4" t="s">
        <v>19</v>
      </c>
    </row>
    <row r="6" spans="1:6" x14ac:dyDescent="0.35">
      <c r="A6" s="4" t="s">
        <v>20</v>
      </c>
      <c r="B6" s="4" t="s">
        <v>17</v>
      </c>
      <c r="C6" s="4" t="s">
        <v>21</v>
      </c>
      <c r="D6" s="4">
        <v>0.5</v>
      </c>
      <c r="E6" s="4" t="s">
        <v>22</v>
      </c>
      <c r="F6" s="4" t="s">
        <v>23</v>
      </c>
    </row>
    <row r="7" spans="1:6" x14ac:dyDescent="0.35">
      <c r="A7" s="4" t="s">
        <v>24</v>
      </c>
      <c r="B7" s="4" t="s">
        <v>17</v>
      </c>
      <c r="C7" s="4" t="s">
        <v>25</v>
      </c>
      <c r="D7" s="4">
        <v>0.5</v>
      </c>
      <c r="E7" s="4">
        <v>0.21</v>
      </c>
      <c r="F7" s="4" t="s">
        <v>26</v>
      </c>
    </row>
    <row r="8" spans="1:6" x14ac:dyDescent="0.35">
      <c r="A8" s="4" t="s">
        <v>27</v>
      </c>
      <c r="B8" s="4" t="s">
        <v>17</v>
      </c>
      <c r="C8" s="4" t="s">
        <v>28</v>
      </c>
      <c r="D8" s="4">
        <v>0.20300000000000001</v>
      </c>
      <c r="E8" s="4">
        <v>2.98</v>
      </c>
      <c r="F8" s="4" t="s">
        <v>29</v>
      </c>
    </row>
    <row r="9" spans="1:6" x14ac:dyDescent="0.35">
      <c r="A9" s="4" t="s">
        <v>30</v>
      </c>
      <c r="B9" s="4" t="s">
        <v>31</v>
      </c>
      <c r="C9" s="4" t="s">
        <v>32</v>
      </c>
      <c r="D9" s="4">
        <v>0.5</v>
      </c>
      <c r="E9" s="4">
        <v>0.17</v>
      </c>
      <c r="F9" s="4" t="s">
        <v>33</v>
      </c>
    </row>
  </sheetData>
  <autoFilter ref="A1:F9" xr:uid="{5E4D0A7F-D7E5-4DFB-80BF-D8B2F89CC2BE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8082-A7FC-424F-B39D-3395699105B1}">
  <dimension ref="A1:Q6"/>
  <sheetViews>
    <sheetView workbookViewId="0">
      <selection sqref="A1:XFD1"/>
    </sheetView>
  </sheetViews>
  <sheetFormatPr defaultRowHeight="14.5" x14ac:dyDescent="0.35"/>
  <sheetData>
    <row r="1" spans="1:17" s="3" customFormat="1" ht="42" x14ac:dyDescent="0.35">
      <c r="A1" s="10" t="s">
        <v>34</v>
      </c>
      <c r="B1" s="10" t="s">
        <v>44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141</v>
      </c>
      <c r="H1" s="10" t="s">
        <v>40</v>
      </c>
      <c r="I1" s="10" t="s">
        <v>142</v>
      </c>
      <c r="J1" s="10" t="s">
        <v>143</v>
      </c>
      <c r="K1" s="10" t="s">
        <v>41</v>
      </c>
      <c r="L1" s="10" t="s">
        <v>144</v>
      </c>
      <c r="M1" s="10" t="s">
        <v>145</v>
      </c>
      <c r="N1" s="10" t="s">
        <v>146</v>
      </c>
      <c r="O1" s="10" t="s">
        <v>43</v>
      </c>
      <c r="P1" s="10" t="s">
        <v>147</v>
      </c>
      <c r="Q1" s="10" t="s">
        <v>148</v>
      </c>
    </row>
    <row r="2" spans="1:17" ht="56" x14ac:dyDescent="0.35">
      <c r="A2" s="8" t="s">
        <v>149</v>
      </c>
      <c r="B2" s="8" t="s">
        <v>150</v>
      </c>
      <c r="C2" s="8" t="s">
        <v>46</v>
      </c>
      <c r="D2" s="8" t="s">
        <v>151</v>
      </c>
      <c r="E2" s="8" t="s">
        <v>152</v>
      </c>
      <c r="F2" s="8">
        <v>0.61</v>
      </c>
      <c r="G2" s="8">
        <v>1</v>
      </c>
      <c r="H2" s="8" t="s">
        <v>49</v>
      </c>
      <c r="I2" s="8" t="s">
        <v>153</v>
      </c>
      <c r="J2" s="8">
        <v>1.5</v>
      </c>
      <c r="K2" s="9">
        <v>0.25</v>
      </c>
      <c r="L2" s="8" t="s">
        <v>154</v>
      </c>
      <c r="M2" s="8" t="s">
        <v>155</v>
      </c>
      <c r="N2" s="8">
        <v>0.05</v>
      </c>
      <c r="O2" s="8" t="s">
        <v>156</v>
      </c>
      <c r="P2" s="8">
        <v>3</v>
      </c>
      <c r="Q2" s="8" t="s">
        <v>157</v>
      </c>
    </row>
    <row r="3" spans="1:17" ht="56" x14ac:dyDescent="0.35">
      <c r="A3" s="8" t="s">
        <v>149</v>
      </c>
      <c r="B3" s="8" t="s">
        <v>158</v>
      </c>
      <c r="C3" s="8" t="s">
        <v>46</v>
      </c>
      <c r="D3" s="8" t="s">
        <v>151</v>
      </c>
      <c r="E3" s="8" t="s">
        <v>152</v>
      </c>
      <c r="F3" s="8">
        <v>0.42</v>
      </c>
      <c r="G3" s="8">
        <v>1</v>
      </c>
      <c r="H3" s="8" t="s">
        <v>49</v>
      </c>
      <c r="I3" s="8" t="s">
        <v>153</v>
      </c>
      <c r="J3" s="8">
        <v>1.5</v>
      </c>
      <c r="K3" s="9">
        <v>0.25</v>
      </c>
      <c r="L3" s="8" t="s">
        <v>154</v>
      </c>
      <c r="M3" s="8" t="s">
        <v>155</v>
      </c>
      <c r="N3" s="8">
        <v>0.05</v>
      </c>
      <c r="O3" s="8" t="s">
        <v>156</v>
      </c>
      <c r="P3" s="8">
        <v>3</v>
      </c>
      <c r="Q3" s="8" t="s">
        <v>157</v>
      </c>
    </row>
    <row r="4" spans="1:17" ht="56" x14ac:dyDescent="0.35">
      <c r="A4" s="8" t="s">
        <v>159</v>
      </c>
      <c r="B4" s="8" t="s">
        <v>160</v>
      </c>
      <c r="C4" s="8" t="s">
        <v>46</v>
      </c>
      <c r="D4" s="8" t="s">
        <v>26</v>
      </c>
      <c r="E4" s="8" t="s">
        <v>26</v>
      </c>
      <c r="F4" s="8" t="s">
        <v>26</v>
      </c>
      <c r="G4" s="8" t="s">
        <v>26</v>
      </c>
      <c r="H4" s="8" t="s">
        <v>161</v>
      </c>
      <c r="I4" s="8" t="s">
        <v>153</v>
      </c>
      <c r="J4" s="8">
        <v>2.2000000000000002</v>
      </c>
      <c r="K4" s="9">
        <v>1</v>
      </c>
      <c r="L4" s="8" t="s">
        <v>154</v>
      </c>
      <c r="M4" s="8" t="s">
        <v>155</v>
      </c>
      <c r="N4" s="8">
        <v>0.05</v>
      </c>
      <c r="O4" s="8" t="s">
        <v>56</v>
      </c>
      <c r="P4" s="8" t="s">
        <v>26</v>
      </c>
      <c r="Q4" s="8" t="s">
        <v>162</v>
      </c>
    </row>
    <row r="5" spans="1:17" ht="56" x14ac:dyDescent="0.35">
      <c r="A5" s="8" t="s">
        <v>163</v>
      </c>
      <c r="B5" s="8" t="s">
        <v>164</v>
      </c>
      <c r="C5" s="8" t="s">
        <v>59</v>
      </c>
      <c r="D5" s="8" t="s">
        <v>151</v>
      </c>
      <c r="E5" s="8" t="s">
        <v>152</v>
      </c>
      <c r="F5" s="8">
        <v>0.42</v>
      </c>
      <c r="G5" s="8">
        <v>1</v>
      </c>
      <c r="H5" s="8" t="s">
        <v>161</v>
      </c>
      <c r="I5" s="8" t="s">
        <v>153</v>
      </c>
      <c r="J5" s="8">
        <v>2.4</v>
      </c>
      <c r="K5" s="9">
        <v>0.2</v>
      </c>
      <c r="L5" s="8" t="s">
        <v>154</v>
      </c>
      <c r="M5" s="8" t="s">
        <v>155</v>
      </c>
      <c r="N5" s="8">
        <v>0.05</v>
      </c>
      <c r="O5" s="8" t="s">
        <v>156</v>
      </c>
      <c r="P5" s="8">
        <v>3</v>
      </c>
      <c r="Q5" s="8" t="s">
        <v>165</v>
      </c>
    </row>
    <row r="6" spans="1:17" ht="56" x14ac:dyDescent="0.35">
      <c r="A6" s="8" t="s">
        <v>163</v>
      </c>
      <c r="B6" s="8" t="s">
        <v>166</v>
      </c>
      <c r="C6" s="8" t="s">
        <v>59</v>
      </c>
      <c r="D6" s="8" t="s">
        <v>151</v>
      </c>
      <c r="E6" s="8" t="s">
        <v>152</v>
      </c>
      <c r="F6" s="8">
        <v>0.61</v>
      </c>
      <c r="G6" s="8">
        <v>1</v>
      </c>
      <c r="H6" s="8" t="s">
        <v>161</v>
      </c>
      <c r="I6" s="8" t="s">
        <v>153</v>
      </c>
      <c r="J6" s="8">
        <v>2.4</v>
      </c>
      <c r="K6" s="9">
        <v>0.2</v>
      </c>
      <c r="L6" s="8" t="s">
        <v>154</v>
      </c>
      <c r="M6" s="8" t="s">
        <v>155</v>
      </c>
      <c r="N6" s="8">
        <v>0.05</v>
      </c>
      <c r="O6" s="8" t="s">
        <v>156</v>
      </c>
      <c r="P6" s="8">
        <v>3</v>
      </c>
      <c r="Q6" s="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932A-3352-4F06-B5D8-A437674109BF}">
  <dimension ref="A1:N6"/>
  <sheetViews>
    <sheetView workbookViewId="0">
      <selection activeCell="A3" sqref="A3:XFD3"/>
    </sheetView>
  </sheetViews>
  <sheetFormatPr defaultRowHeight="14.5" x14ac:dyDescent="0.35"/>
  <cols>
    <col min="1" max="1" width="13.36328125" bestFit="1" customWidth="1"/>
    <col min="2" max="2" width="10.90625" bestFit="1" customWidth="1"/>
    <col min="3" max="3" width="13.90625" bestFit="1" customWidth="1"/>
    <col min="4" max="4" width="11.54296875" bestFit="1" customWidth="1"/>
    <col min="5" max="5" width="16.81640625" bestFit="1" customWidth="1"/>
    <col min="6" max="6" width="11.81640625" bestFit="1" customWidth="1"/>
    <col min="7" max="7" width="21.81640625" bestFit="1" customWidth="1"/>
    <col min="8" max="8" width="14.08984375" bestFit="1" customWidth="1"/>
    <col min="9" max="9" width="22.54296875" bestFit="1" customWidth="1"/>
    <col min="10" max="10" width="9.36328125" bestFit="1" customWidth="1"/>
    <col min="11" max="11" width="15.6328125" bestFit="1" customWidth="1"/>
    <col min="12" max="12" width="15.90625" bestFit="1" customWidth="1"/>
    <col min="13" max="13" width="29.90625" bestFit="1" customWidth="1"/>
    <col min="14" max="14" width="46.54296875" bestFit="1" customWidth="1"/>
  </cols>
  <sheetData>
    <row r="1" spans="1:14" s="3" customFormat="1" x14ac:dyDescent="0.35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86</v>
      </c>
      <c r="H1" s="6" t="s">
        <v>40</v>
      </c>
      <c r="I1" s="6" t="s">
        <v>87</v>
      </c>
      <c r="J1" s="6" t="s">
        <v>41</v>
      </c>
      <c r="K1" s="6" t="s">
        <v>42</v>
      </c>
      <c r="L1" s="6" t="s">
        <v>43</v>
      </c>
      <c r="M1" s="6" t="s">
        <v>88</v>
      </c>
    </row>
    <row r="2" spans="1:14" x14ac:dyDescent="0.3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>
        <v>0.61</v>
      </c>
      <c r="G2" s="4">
        <v>1</v>
      </c>
      <c r="H2" s="4" t="s">
        <v>49</v>
      </c>
      <c r="I2" s="4">
        <v>1.5</v>
      </c>
      <c r="J2" s="5">
        <v>0.25</v>
      </c>
      <c r="K2" s="4" t="s">
        <v>50</v>
      </c>
      <c r="L2" s="4" t="s">
        <v>51</v>
      </c>
      <c r="M2" s="4">
        <v>0.76</v>
      </c>
      <c r="N2" t="s">
        <v>84</v>
      </c>
    </row>
    <row r="3" spans="1:14" x14ac:dyDescent="0.35">
      <c r="A3" s="4" t="s">
        <v>44</v>
      </c>
      <c r="B3" s="4" t="s">
        <v>52</v>
      </c>
      <c r="C3" s="4" t="s">
        <v>46</v>
      </c>
      <c r="D3" s="4" t="s">
        <v>47</v>
      </c>
      <c r="E3" s="4" t="s">
        <v>48</v>
      </c>
      <c r="F3" s="4">
        <v>0.42</v>
      </c>
      <c r="G3" s="4">
        <v>1</v>
      </c>
      <c r="H3" s="4" t="s">
        <v>49</v>
      </c>
      <c r="I3" s="4">
        <v>1.5</v>
      </c>
      <c r="J3" s="5">
        <v>0.25</v>
      </c>
      <c r="K3" s="4" t="s">
        <v>50</v>
      </c>
      <c r="L3" s="4" t="s">
        <v>51</v>
      </c>
      <c r="M3" s="4">
        <v>0.76</v>
      </c>
      <c r="N3" t="s">
        <v>85</v>
      </c>
    </row>
    <row r="4" spans="1:14" x14ac:dyDescent="0.35">
      <c r="A4" s="4" t="s">
        <v>53</v>
      </c>
      <c r="B4" s="4" t="s">
        <v>54</v>
      </c>
      <c r="C4" s="4" t="s">
        <v>46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55</v>
      </c>
      <c r="I4" s="4">
        <v>2.2000000000000002</v>
      </c>
      <c r="J4" s="5">
        <v>1</v>
      </c>
      <c r="K4" s="4" t="s">
        <v>50</v>
      </c>
      <c r="L4" s="4" t="s">
        <v>56</v>
      </c>
      <c r="M4" s="4">
        <v>2.2000000000000002</v>
      </c>
      <c r="N4" t="s">
        <v>89</v>
      </c>
    </row>
    <row r="5" spans="1:14" x14ac:dyDescent="0.35">
      <c r="A5" s="4" t="s">
        <v>57</v>
      </c>
      <c r="B5" s="4" t="s">
        <v>58</v>
      </c>
      <c r="C5" s="4" t="s">
        <v>59</v>
      </c>
      <c r="D5" s="4" t="s">
        <v>47</v>
      </c>
      <c r="E5" s="4" t="s">
        <v>48</v>
      </c>
      <c r="F5" s="4">
        <v>0.42</v>
      </c>
      <c r="G5" s="4">
        <v>1</v>
      </c>
      <c r="H5" s="4" t="s">
        <v>55</v>
      </c>
      <c r="I5" s="4">
        <v>2.4</v>
      </c>
      <c r="J5" s="5">
        <v>0.2</v>
      </c>
      <c r="K5" s="4" t="s">
        <v>50</v>
      </c>
      <c r="L5" s="4" t="s">
        <v>51</v>
      </c>
      <c r="M5" s="4">
        <v>0.89</v>
      </c>
      <c r="N5" t="s">
        <v>90</v>
      </c>
    </row>
    <row r="6" spans="1:14" x14ac:dyDescent="0.35">
      <c r="A6" s="4" t="s">
        <v>57</v>
      </c>
      <c r="B6" s="4" t="s">
        <v>60</v>
      </c>
      <c r="C6" s="4" t="s">
        <v>59</v>
      </c>
      <c r="D6" s="4" t="s">
        <v>47</v>
      </c>
      <c r="E6" s="4" t="s">
        <v>48</v>
      </c>
      <c r="F6" s="4">
        <v>0.61</v>
      </c>
      <c r="G6" s="4">
        <v>1</v>
      </c>
      <c r="H6" s="4" t="s">
        <v>55</v>
      </c>
      <c r="I6" s="4">
        <v>2.4</v>
      </c>
      <c r="J6" s="5">
        <v>0.2</v>
      </c>
      <c r="K6" s="4" t="s">
        <v>50</v>
      </c>
      <c r="L6" s="4" t="s">
        <v>51</v>
      </c>
      <c r="M6" s="4">
        <v>0.89</v>
      </c>
      <c r="N6" t="s">
        <v>91</v>
      </c>
    </row>
  </sheetData>
  <autoFilter ref="A1:M6" xr:uid="{B8D1932A-3352-4F06-B5D8-A437674109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B08C-B571-46B9-88DB-28107939E9A8}">
  <dimension ref="A1:L44"/>
  <sheetViews>
    <sheetView tabSelected="1" workbookViewId="0">
      <selection activeCell="D2" sqref="D2"/>
    </sheetView>
  </sheetViews>
  <sheetFormatPr defaultRowHeight="14.5" x14ac:dyDescent="0.35"/>
  <cols>
    <col min="1" max="1" width="42.453125" bestFit="1" customWidth="1"/>
    <col min="2" max="2" width="14.6328125" bestFit="1" customWidth="1"/>
    <col min="3" max="3" width="30.54296875" bestFit="1" customWidth="1"/>
    <col min="4" max="4" width="12.08984375" bestFit="1" customWidth="1"/>
    <col min="5" max="5" width="19.26953125" bestFit="1" customWidth="1"/>
    <col min="6" max="6" width="19.81640625" bestFit="1" customWidth="1"/>
    <col min="7" max="7" width="8.7265625" style="12"/>
    <col min="8" max="8" width="19.54296875" style="19" bestFit="1" customWidth="1"/>
    <col min="9" max="9" width="12" bestFit="1" customWidth="1"/>
  </cols>
  <sheetData>
    <row r="1" spans="1:12" s="3" customFormat="1" x14ac:dyDescent="0.35">
      <c r="A1" s="3" t="s">
        <v>92</v>
      </c>
      <c r="B1" s="3" t="s">
        <v>93</v>
      </c>
      <c r="C1" s="3" t="s">
        <v>94</v>
      </c>
      <c r="D1" s="3" t="s">
        <v>3</v>
      </c>
      <c r="E1" s="3" t="s">
        <v>95</v>
      </c>
      <c r="F1" s="3" t="s">
        <v>96</v>
      </c>
      <c r="G1" s="23" t="s">
        <v>5</v>
      </c>
      <c r="H1" s="24" t="s">
        <v>185</v>
      </c>
      <c r="I1" s="3" t="s">
        <v>186</v>
      </c>
      <c r="J1" s="3" t="s">
        <v>183</v>
      </c>
      <c r="K1" s="3" t="s">
        <v>184</v>
      </c>
    </row>
    <row r="2" spans="1:12" x14ac:dyDescent="0.35">
      <c r="A2" t="s">
        <v>97</v>
      </c>
      <c r="B2" t="s">
        <v>6</v>
      </c>
      <c r="C2" t="s">
        <v>98</v>
      </c>
      <c r="D2">
        <v>0.03</v>
      </c>
      <c r="E2">
        <v>0.14000000000000001</v>
      </c>
      <c r="F2">
        <v>0.23</v>
      </c>
      <c r="H2" s="20">
        <f>IFERROR(D2/E2,0)</f>
        <v>0.21428571428571425</v>
      </c>
    </row>
    <row r="3" spans="1:12" x14ac:dyDescent="0.35">
      <c r="C3" t="s">
        <v>99</v>
      </c>
      <c r="D3">
        <v>0.24</v>
      </c>
      <c r="E3">
        <v>0.04</v>
      </c>
      <c r="H3" s="20">
        <f t="shared" ref="H3:H8" si="0">IFERROR(D3/E3,0)</f>
        <v>6</v>
      </c>
    </row>
    <row r="4" spans="1:12" x14ac:dyDescent="0.35">
      <c r="C4" t="s">
        <v>100</v>
      </c>
      <c r="D4">
        <v>0.24</v>
      </c>
      <c r="E4">
        <v>0.24</v>
      </c>
      <c r="H4" s="20">
        <f t="shared" si="0"/>
        <v>1</v>
      </c>
    </row>
    <row r="5" spans="1:12" x14ac:dyDescent="0.35">
      <c r="C5" t="s">
        <v>101</v>
      </c>
      <c r="D5">
        <v>0.01</v>
      </c>
      <c r="E5">
        <v>0.24</v>
      </c>
      <c r="H5" s="20">
        <f t="shared" si="0"/>
        <v>4.1666666666666671E-2</v>
      </c>
    </row>
    <row r="6" spans="1:12" x14ac:dyDescent="0.35">
      <c r="C6" t="s">
        <v>102</v>
      </c>
      <c r="D6">
        <v>0.05</v>
      </c>
      <c r="E6">
        <v>0</v>
      </c>
      <c r="H6" s="20">
        <f t="shared" si="0"/>
        <v>0</v>
      </c>
    </row>
    <row r="7" spans="1:12" x14ac:dyDescent="0.35">
      <c r="C7" t="s">
        <v>103</v>
      </c>
      <c r="D7">
        <v>1.4999999999999999E-2</v>
      </c>
      <c r="E7">
        <v>0.25</v>
      </c>
      <c r="H7" s="20">
        <f t="shared" si="0"/>
        <v>0.06</v>
      </c>
    </row>
    <row r="8" spans="1:12" x14ac:dyDescent="0.35">
      <c r="C8" t="s">
        <v>104</v>
      </c>
      <c r="D8">
        <v>1.4999999999999999E-2</v>
      </c>
      <c r="E8">
        <v>0.25</v>
      </c>
      <c r="H8" s="20">
        <f t="shared" si="0"/>
        <v>0.06</v>
      </c>
    </row>
    <row r="9" spans="1:12" ht="58" x14ac:dyDescent="0.35">
      <c r="A9" t="s">
        <v>105</v>
      </c>
      <c r="B9" t="s">
        <v>10</v>
      </c>
      <c r="C9" t="s">
        <v>106</v>
      </c>
      <c r="D9">
        <v>8.9999999999999993E-3</v>
      </c>
      <c r="E9">
        <v>0.247</v>
      </c>
      <c r="F9">
        <v>1.76</v>
      </c>
      <c r="G9" s="12" t="s">
        <v>108</v>
      </c>
      <c r="H9" s="20">
        <f>SUM(H2:H8)</f>
        <v>7.3759523809523806</v>
      </c>
      <c r="I9">
        <f>1/H9</f>
        <v>0.13557571257948933</v>
      </c>
    </row>
    <row r="10" spans="1:12" x14ac:dyDescent="0.35">
      <c r="C10" t="s">
        <v>107</v>
      </c>
      <c r="D10">
        <v>0.24</v>
      </c>
      <c r="E10">
        <v>0.24</v>
      </c>
    </row>
    <row r="11" spans="1:12" s="11" customFormat="1" x14ac:dyDescent="0.35">
      <c r="A11" s="11" t="s">
        <v>109</v>
      </c>
      <c r="B11" s="11" t="s">
        <v>182</v>
      </c>
      <c r="C11" s="11" t="s">
        <v>110</v>
      </c>
      <c r="D11" s="11">
        <v>1.2999999999999999E-2</v>
      </c>
      <c r="E11" s="11">
        <v>0.25</v>
      </c>
      <c r="F11" s="11">
        <v>0.25</v>
      </c>
      <c r="G11" s="18" t="s">
        <v>115</v>
      </c>
      <c r="H11" s="20">
        <f>D11/E11</f>
        <v>5.1999999999999998E-2</v>
      </c>
    </row>
    <row r="12" spans="1:12" s="11" customFormat="1" x14ac:dyDescent="0.35">
      <c r="C12" s="11" t="s">
        <v>111</v>
      </c>
      <c r="D12" s="11">
        <v>1.2999999999999999E-2</v>
      </c>
      <c r="E12" s="11">
        <v>0.25</v>
      </c>
      <c r="G12" s="18"/>
      <c r="H12" s="20">
        <f t="shared" ref="H12:H15" si="1">D12/E12</f>
        <v>5.1999999999999998E-2</v>
      </c>
    </row>
    <row r="13" spans="1:12" s="11" customFormat="1" x14ac:dyDescent="0.35">
      <c r="C13" s="11" t="s">
        <v>112</v>
      </c>
      <c r="D13" s="11">
        <v>0.04</v>
      </c>
      <c r="E13" s="11">
        <v>4.1000000000000002E-2</v>
      </c>
      <c r="G13" s="18"/>
      <c r="H13" s="20">
        <f t="shared" si="1"/>
        <v>0.97560975609756095</v>
      </c>
    </row>
    <row r="14" spans="1:12" s="11" customFormat="1" x14ac:dyDescent="0.35">
      <c r="C14" s="11" t="s">
        <v>113</v>
      </c>
      <c r="D14" s="11">
        <v>1.2999999999999999E-2</v>
      </c>
      <c r="E14" s="11">
        <v>0.25</v>
      </c>
      <c r="G14" s="18"/>
      <c r="H14" s="20">
        <f t="shared" si="1"/>
        <v>5.1999999999999998E-2</v>
      </c>
    </row>
    <row r="15" spans="1:12" s="11" customFormat="1" x14ac:dyDescent="0.35">
      <c r="C15" s="11" t="s">
        <v>114</v>
      </c>
      <c r="D15" s="11">
        <v>1.2999999999999999E-2</v>
      </c>
      <c r="E15" s="11">
        <v>0.25</v>
      </c>
      <c r="G15" s="18"/>
      <c r="H15" s="20">
        <f t="shared" si="1"/>
        <v>5.1999999999999998E-2</v>
      </c>
    </row>
    <row r="16" spans="1:12" s="11" customFormat="1" x14ac:dyDescent="0.35">
      <c r="G16" s="13"/>
      <c r="H16" s="21">
        <f>SUM(H11:H15)</f>
        <v>1.1836097560975611</v>
      </c>
      <c r="I16" s="11">
        <f>1/H16</f>
        <v>0.84487306297395304</v>
      </c>
      <c r="J16" s="11">
        <v>0.13</v>
      </c>
      <c r="K16" s="11">
        <v>0.13</v>
      </c>
      <c r="L16" s="16">
        <f>1/(J16+H16+K16)</f>
        <v>0.6927079813475705</v>
      </c>
    </row>
    <row r="17" spans="1:10" s="14" customFormat="1" ht="58" x14ac:dyDescent="0.35">
      <c r="A17" s="14" t="s">
        <v>116</v>
      </c>
      <c r="B17" s="14" t="s">
        <v>16</v>
      </c>
      <c r="C17" s="14" t="s">
        <v>117</v>
      </c>
      <c r="D17" s="14">
        <v>0.01</v>
      </c>
      <c r="E17" s="14">
        <v>2.2999999999999998</v>
      </c>
      <c r="F17" s="14">
        <v>0.37</v>
      </c>
      <c r="G17" s="15" t="s">
        <v>108</v>
      </c>
      <c r="H17" s="22"/>
      <c r="J17" s="17"/>
    </row>
    <row r="18" spans="1:10" x14ac:dyDescent="0.35">
      <c r="C18" t="s">
        <v>118</v>
      </c>
      <c r="D18">
        <v>0.05</v>
      </c>
      <c r="E18">
        <v>0.55000000000000004</v>
      </c>
    </row>
    <row r="19" spans="1:10" x14ac:dyDescent="0.35">
      <c r="C19" t="s">
        <v>119</v>
      </c>
      <c r="D19">
        <v>6.5000000000000002E-2</v>
      </c>
      <c r="E19">
        <v>0.55000000000000004</v>
      </c>
    </row>
    <row r="20" spans="1:10" x14ac:dyDescent="0.35">
      <c r="C20" t="s">
        <v>120</v>
      </c>
      <c r="D20">
        <v>0.06</v>
      </c>
      <c r="E20">
        <v>3.4000000000000002E-2</v>
      </c>
    </row>
    <row r="21" spans="1:10" x14ac:dyDescent="0.35">
      <c r="C21" t="s">
        <v>121</v>
      </c>
      <c r="D21">
        <v>0.25</v>
      </c>
      <c r="E21">
        <v>0.90800000000000003</v>
      </c>
    </row>
    <row r="22" spans="1:10" x14ac:dyDescent="0.35">
      <c r="C22" t="s">
        <v>122</v>
      </c>
      <c r="D22">
        <v>0.05</v>
      </c>
      <c r="E22">
        <v>0.16</v>
      </c>
    </row>
    <row r="23" spans="1:10" x14ac:dyDescent="0.35">
      <c r="C23" t="s">
        <v>104</v>
      </c>
      <c r="D23">
        <v>1.4999999999999999E-2</v>
      </c>
      <c r="E23">
        <v>0.25</v>
      </c>
    </row>
    <row r="24" spans="1:10" ht="101.5" x14ac:dyDescent="0.35">
      <c r="A24" t="s">
        <v>123</v>
      </c>
      <c r="B24" t="s">
        <v>20</v>
      </c>
      <c r="C24" t="s">
        <v>117</v>
      </c>
      <c r="D24">
        <v>0.01</v>
      </c>
      <c r="E24">
        <v>2.2999999999999998</v>
      </c>
      <c r="F24">
        <v>0.16</v>
      </c>
      <c r="G24" s="12" t="s">
        <v>127</v>
      </c>
    </row>
    <row r="25" spans="1:10" ht="130.5" x14ac:dyDescent="0.35">
      <c r="C25" t="s">
        <v>118</v>
      </c>
      <c r="D25">
        <v>0.05</v>
      </c>
      <c r="E25">
        <v>0.55000000000000004</v>
      </c>
      <c r="F25">
        <v>0.17</v>
      </c>
      <c r="G25" s="12" t="s">
        <v>128</v>
      </c>
    </row>
    <row r="26" spans="1:10" x14ac:dyDescent="0.35">
      <c r="C26" t="s">
        <v>124</v>
      </c>
      <c r="D26">
        <v>0.12</v>
      </c>
      <c r="E26">
        <v>3.4000000000000002E-2</v>
      </c>
    </row>
    <row r="27" spans="1:10" x14ac:dyDescent="0.35">
      <c r="C27" t="s">
        <v>125</v>
      </c>
      <c r="D27">
        <v>0.25</v>
      </c>
      <c r="E27">
        <v>0.90800000000000003</v>
      </c>
    </row>
    <row r="28" spans="1:10" x14ac:dyDescent="0.35">
      <c r="C28" t="s">
        <v>126</v>
      </c>
      <c r="D28">
        <v>0.05</v>
      </c>
      <c r="E28">
        <v>0.16</v>
      </c>
    </row>
    <row r="29" spans="1:10" x14ac:dyDescent="0.35">
      <c r="C29" t="s">
        <v>103</v>
      </c>
      <c r="D29">
        <v>1.4999999999999999E-2</v>
      </c>
      <c r="E29">
        <v>0.25</v>
      </c>
    </row>
    <row r="30" spans="1:10" x14ac:dyDescent="0.35">
      <c r="A30" t="s">
        <v>129</v>
      </c>
      <c r="B30" t="s">
        <v>24</v>
      </c>
      <c r="C30" t="s">
        <v>117</v>
      </c>
      <c r="D30">
        <v>0.01</v>
      </c>
      <c r="E30">
        <v>2.2999999999999998</v>
      </c>
      <c r="F30">
        <v>0.21</v>
      </c>
    </row>
    <row r="31" spans="1:10" x14ac:dyDescent="0.35">
      <c r="C31" t="s">
        <v>118</v>
      </c>
      <c r="D31">
        <v>2.5000000000000001E-2</v>
      </c>
      <c r="E31">
        <v>0.55000000000000004</v>
      </c>
    </row>
    <row r="32" spans="1:10" x14ac:dyDescent="0.35">
      <c r="C32" t="s">
        <v>119</v>
      </c>
      <c r="D32">
        <v>0.06</v>
      </c>
      <c r="E32">
        <v>0.55000000000000004</v>
      </c>
    </row>
    <row r="33" spans="1:6" x14ac:dyDescent="0.35">
      <c r="C33" t="s">
        <v>120</v>
      </c>
      <c r="D33">
        <v>0.1</v>
      </c>
      <c r="E33">
        <v>3.4000000000000002E-2</v>
      </c>
    </row>
    <row r="34" spans="1:6" x14ac:dyDescent="0.35">
      <c r="C34" t="s">
        <v>130</v>
      </c>
      <c r="D34">
        <v>0.3</v>
      </c>
      <c r="E34">
        <v>0.92600000000000005</v>
      </c>
    </row>
    <row r="35" spans="1:6" x14ac:dyDescent="0.35">
      <c r="C35" t="s">
        <v>131</v>
      </c>
      <c r="D35">
        <v>5.0000000000000001E-3</v>
      </c>
      <c r="E35">
        <v>0.17</v>
      </c>
    </row>
    <row r="36" spans="1:6" x14ac:dyDescent="0.35">
      <c r="A36" t="s">
        <v>132</v>
      </c>
      <c r="B36" t="s">
        <v>27</v>
      </c>
      <c r="C36" t="s">
        <v>133</v>
      </c>
      <c r="D36">
        <v>0.08</v>
      </c>
      <c r="E36">
        <v>1.65</v>
      </c>
      <c r="F36">
        <v>2.98</v>
      </c>
    </row>
    <row r="37" spans="1:6" x14ac:dyDescent="0.35">
      <c r="C37" t="s">
        <v>134</v>
      </c>
      <c r="D37">
        <v>3.0000000000000001E-3</v>
      </c>
      <c r="E37">
        <v>0.17</v>
      </c>
    </row>
    <row r="38" spans="1:6" x14ac:dyDescent="0.35">
      <c r="C38" t="s">
        <v>135</v>
      </c>
      <c r="D38">
        <v>0.12</v>
      </c>
      <c r="E38">
        <v>2</v>
      </c>
    </row>
    <row r="39" spans="1:6" x14ac:dyDescent="0.35">
      <c r="A39" t="s">
        <v>136</v>
      </c>
      <c r="B39" t="s">
        <v>30</v>
      </c>
      <c r="C39" t="s">
        <v>137</v>
      </c>
      <c r="D39">
        <v>1.4999999999999999E-2</v>
      </c>
      <c r="E39">
        <v>1</v>
      </c>
      <c r="F39">
        <v>0.17</v>
      </c>
    </row>
    <row r="40" spans="1:6" x14ac:dyDescent="0.35">
      <c r="C40" t="s">
        <v>138</v>
      </c>
      <c r="D40">
        <v>0.05</v>
      </c>
      <c r="E40">
        <v>0.06</v>
      </c>
    </row>
    <row r="41" spans="1:6" x14ac:dyDescent="0.35">
      <c r="C41" t="s">
        <v>124</v>
      </c>
      <c r="D41">
        <v>0.16</v>
      </c>
      <c r="E41">
        <v>3.4000000000000002E-2</v>
      </c>
    </row>
    <row r="42" spans="1:6" x14ac:dyDescent="0.35">
      <c r="C42" t="s">
        <v>139</v>
      </c>
      <c r="D42">
        <v>0.01</v>
      </c>
      <c r="E42">
        <v>0.23</v>
      </c>
    </row>
    <row r="43" spans="1:6" x14ac:dyDescent="0.35">
      <c r="C43" t="s">
        <v>140</v>
      </c>
      <c r="D43">
        <v>0.25</v>
      </c>
      <c r="E43">
        <v>0.26600000000000001</v>
      </c>
    </row>
    <row r="44" spans="1:6" x14ac:dyDescent="0.35">
      <c r="C44" t="s">
        <v>103</v>
      </c>
      <c r="D44">
        <v>1.4999999999999999E-2</v>
      </c>
      <c r="E44">
        <v>0.25</v>
      </c>
    </row>
  </sheetData>
  <mergeCells count="1">
    <mergeCell ref="G11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1291-EDEA-47D7-99F0-ACB27F1DFC56}">
  <dimension ref="A1:D11"/>
  <sheetViews>
    <sheetView workbookViewId="0"/>
  </sheetViews>
  <sheetFormatPr defaultRowHeight="14.5" x14ac:dyDescent="0.35"/>
  <cols>
    <col min="1" max="1" width="17.453125" bestFit="1" customWidth="1"/>
    <col min="2" max="2" width="36.36328125" bestFit="1" customWidth="1"/>
    <col min="3" max="3" width="15.54296875" bestFit="1" customWidth="1"/>
    <col min="4" max="4" width="17.54296875" bestFit="1" customWidth="1"/>
  </cols>
  <sheetData>
    <row r="1" spans="1:4" s="3" customFormat="1" x14ac:dyDescent="0.35">
      <c r="A1" s="2" t="s">
        <v>61</v>
      </c>
      <c r="B1" s="2" t="s">
        <v>2</v>
      </c>
      <c r="C1" s="2" t="s">
        <v>62</v>
      </c>
      <c r="D1" s="2" t="s">
        <v>63</v>
      </c>
    </row>
    <row r="2" spans="1:4" x14ac:dyDescent="0.35">
      <c r="A2" s="1" t="s">
        <v>64</v>
      </c>
      <c r="B2" s="1" t="s">
        <v>65</v>
      </c>
      <c r="C2" s="1" t="s">
        <v>66</v>
      </c>
      <c r="D2" s="1">
        <v>0.03</v>
      </c>
    </row>
    <row r="3" spans="1:4" x14ac:dyDescent="0.35">
      <c r="A3" s="1" t="s">
        <v>64</v>
      </c>
      <c r="B3" s="1" t="s">
        <v>67</v>
      </c>
      <c r="C3" s="1" t="s">
        <v>66</v>
      </c>
      <c r="D3" s="1">
        <v>0.03</v>
      </c>
    </row>
    <row r="4" spans="1:4" x14ac:dyDescent="0.35">
      <c r="A4" s="1" t="s">
        <v>68</v>
      </c>
      <c r="B4" s="1" t="s">
        <v>69</v>
      </c>
      <c r="C4" s="1" t="s">
        <v>66</v>
      </c>
      <c r="D4" s="1">
        <v>0.02</v>
      </c>
    </row>
    <row r="5" spans="1:4" x14ac:dyDescent="0.35">
      <c r="A5" s="1" t="s">
        <v>70</v>
      </c>
      <c r="B5" s="1" t="s">
        <v>71</v>
      </c>
      <c r="C5" s="1" t="s">
        <v>66</v>
      </c>
      <c r="D5" s="1">
        <v>0.22</v>
      </c>
    </row>
    <row r="6" spans="1:4" x14ac:dyDescent="0.35">
      <c r="A6" s="1" t="s">
        <v>72</v>
      </c>
      <c r="B6" s="1" t="s">
        <v>73</v>
      </c>
      <c r="C6" s="1" t="s">
        <v>66</v>
      </c>
      <c r="D6" s="1">
        <v>0.08</v>
      </c>
    </row>
    <row r="7" spans="1:4" x14ac:dyDescent="0.35">
      <c r="A7" s="1" t="s">
        <v>72</v>
      </c>
      <c r="B7" s="1" t="s">
        <v>74</v>
      </c>
      <c r="C7" s="1" t="s">
        <v>75</v>
      </c>
      <c r="D7" s="1">
        <v>0.51</v>
      </c>
    </row>
    <row r="8" spans="1:4" x14ac:dyDescent="0.35">
      <c r="A8" s="1" t="s">
        <v>76</v>
      </c>
      <c r="B8" s="1" t="s">
        <v>77</v>
      </c>
      <c r="C8" s="1" t="s">
        <v>66</v>
      </c>
      <c r="D8" s="1">
        <v>0.1</v>
      </c>
    </row>
    <row r="9" spans="1:4" x14ac:dyDescent="0.35">
      <c r="A9" s="1" t="s">
        <v>78</v>
      </c>
      <c r="B9" s="1" t="s">
        <v>79</v>
      </c>
      <c r="C9" s="1" t="s">
        <v>66</v>
      </c>
      <c r="D9" s="1">
        <v>0.23</v>
      </c>
    </row>
    <row r="10" spans="1:4" x14ac:dyDescent="0.35">
      <c r="A10" s="1" t="s">
        <v>78</v>
      </c>
      <c r="B10" s="1" t="s">
        <v>80</v>
      </c>
      <c r="C10" s="1" t="s">
        <v>81</v>
      </c>
      <c r="D10" s="1">
        <v>0.84</v>
      </c>
    </row>
    <row r="11" spans="1:4" x14ac:dyDescent="0.35">
      <c r="A11" s="1" t="s">
        <v>82</v>
      </c>
      <c r="B11" s="1" t="s">
        <v>83</v>
      </c>
      <c r="C11" s="1" t="s">
        <v>66</v>
      </c>
      <c r="D11" s="1">
        <v>0.05</v>
      </c>
    </row>
  </sheetData>
  <autoFilter ref="A1:D11" xr:uid="{A25B1291-EDEA-47D7-99F0-ACB27F1DFC5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0709-85E7-4F7A-AA09-B0EE913D5452}">
  <dimension ref="A1:C11"/>
  <sheetViews>
    <sheetView workbookViewId="0"/>
  </sheetViews>
  <sheetFormatPr defaultRowHeight="14.5" x14ac:dyDescent="0.35"/>
  <cols>
    <col min="1" max="1" width="55.453125" bestFit="1" customWidth="1"/>
    <col min="2" max="2" width="12.54296875" bestFit="1" customWidth="1"/>
    <col min="3" max="3" width="32" bestFit="1" customWidth="1"/>
  </cols>
  <sheetData>
    <row r="1" spans="1:3" s="3" customFormat="1" x14ac:dyDescent="0.35">
      <c r="A1" s="2" t="s">
        <v>167</v>
      </c>
      <c r="B1" s="2" t="s">
        <v>62</v>
      </c>
      <c r="C1" s="2" t="s">
        <v>168</v>
      </c>
    </row>
    <row r="2" spans="1:3" x14ac:dyDescent="0.35">
      <c r="A2" s="1" t="s">
        <v>169</v>
      </c>
      <c r="B2" s="1" t="s">
        <v>170</v>
      </c>
      <c r="C2" s="1">
        <v>0.03</v>
      </c>
    </row>
    <row r="3" spans="1:3" x14ac:dyDescent="0.35">
      <c r="A3" s="1" t="s">
        <v>171</v>
      </c>
      <c r="B3" s="1" t="s">
        <v>170</v>
      </c>
      <c r="C3" s="1">
        <v>0.03</v>
      </c>
    </row>
    <row r="4" spans="1:3" x14ac:dyDescent="0.35">
      <c r="A4" s="1" t="s">
        <v>172</v>
      </c>
      <c r="B4" s="1" t="s">
        <v>170</v>
      </c>
      <c r="C4" s="1">
        <v>0.02</v>
      </c>
    </row>
    <row r="5" spans="1:3" x14ac:dyDescent="0.35">
      <c r="A5" s="1" t="s">
        <v>173</v>
      </c>
      <c r="B5" s="1" t="s">
        <v>170</v>
      </c>
      <c r="C5" s="1">
        <v>0.22</v>
      </c>
    </row>
    <row r="6" spans="1:3" x14ac:dyDescent="0.35">
      <c r="A6" s="1" t="s">
        <v>174</v>
      </c>
      <c r="B6" s="1" t="s">
        <v>170</v>
      </c>
      <c r="C6" s="1">
        <v>0.08</v>
      </c>
    </row>
    <row r="7" spans="1:3" x14ac:dyDescent="0.35">
      <c r="A7" s="1" t="s">
        <v>175</v>
      </c>
      <c r="B7" s="1" t="s">
        <v>176</v>
      </c>
      <c r="C7" s="1">
        <v>0.51</v>
      </c>
    </row>
    <row r="8" spans="1:3" x14ac:dyDescent="0.35">
      <c r="A8" s="1" t="s">
        <v>177</v>
      </c>
      <c r="B8" s="1" t="s">
        <v>170</v>
      </c>
      <c r="C8" s="1">
        <v>0.1</v>
      </c>
    </row>
    <row r="9" spans="1:3" x14ac:dyDescent="0.35">
      <c r="A9" s="1" t="s">
        <v>178</v>
      </c>
      <c r="B9" s="1" t="s">
        <v>170</v>
      </c>
      <c r="C9" s="1">
        <v>0.23</v>
      </c>
    </row>
    <row r="10" spans="1:3" x14ac:dyDescent="0.35">
      <c r="A10" s="1" t="s">
        <v>179</v>
      </c>
      <c r="B10" s="1" t="s">
        <v>180</v>
      </c>
      <c r="C10" s="1">
        <v>0.84</v>
      </c>
    </row>
    <row r="11" spans="1:3" x14ac:dyDescent="0.35">
      <c r="A11" s="1" t="s">
        <v>181</v>
      </c>
      <c r="B11" s="1" t="s">
        <v>170</v>
      </c>
      <c r="C11" s="1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DC61-A6CD-458B-8D61-12C99369A4D6}">
  <dimension ref="A1:D2"/>
  <sheetViews>
    <sheetView workbookViewId="0">
      <selection activeCell="D1" sqref="D1"/>
    </sheetView>
  </sheetViews>
  <sheetFormatPr defaultRowHeight="14.5" x14ac:dyDescent="0.35"/>
  <sheetData>
    <row r="1" spans="1:4" x14ac:dyDescent="0.35">
      <c r="A1">
        <v>1</v>
      </c>
      <c r="B1">
        <v>1</v>
      </c>
      <c r="C1">
        <f>A1+B1</f>
        <v>2</v>
      </c>
      <c r="D1">
        <f>IFERROR(A1,B1)</f>
        <v>1</v>
      </c>
    </row>
    <row r="2" spans="1:4" x14ac:dyDescent="0.35">
      <c r="A2">
        <v>1.1000000000000001</v>
      </c>
      <c r="B2">
        <v>1</v>
      </c>
      <c r="C2">
        <f>A2+B2</f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Opaque Enclosures</vt:lpstr>
      <vt:lpstr>Openings details</vt:lpstr>
      <vt:lpstr>Openings</vt:lpstr>
      <vt:lpstr>Opaque Enclosures detail</vt:lpstr>
      <vt:lpstr>Thermal Bridges</vt:lpstr>
      <vt:lpstr>Thermal Bridges 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Gonzalez</dc:creator>
  <cp:lastModifiedBy>Tomas Gonzalez</cp:lastModifiedBy>
  <dcterms:created xsi:type="dcterms:W3CDTF">2025-10-26T03:47:03Z</dcterms:created>
  <dcterms:modified xsi:type="dcterms:W3CDTF">2025-11-09T17:20:49Z</dcterms:modified>
</cp:coreProperties>
</file>