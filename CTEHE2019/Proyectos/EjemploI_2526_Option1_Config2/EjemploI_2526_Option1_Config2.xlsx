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ProyectosCTEyCEE\CTEHE2019\Proyectos\EjemploI_2526_Option1_Config2\"/>
    </mc:Choice>
  </mc:AlternateContent>
  <xr:revisionPtr revIDLastSave="0" documentId="13_ncr:1_{26A87495-A7D9-4B78-9673-785E4E3C8694}" xr6:coauthVersionLast="47" xr6:coauthVersionMax="47" xr10:uidLastSave="{00000000-0000-0000-0000-000000000000}"/>
  <bookViews>
    <workbookView xWindow="108" yWindow="180" windowWidth="24888" windowHeight="2496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3" i="1" l="1"/>
  <c r="M23" i="1"/>
  <c r="O13" i="1"/>
  <c r="L24" i="1"/>
  <c r="L23" i="1"/>
  <c r="S23" i="1"/>
  <c r="M24" i="1"/>
  <c r="N24" i="1" s="1"/>
  <c r="L18" i="1"/>
  <c r="L13" i="1"/>
  <c r="G24" i="1"/>
  <c r="G26" i="1" s="1"/>
  <c r="I24" i="1"/>
  <c r="I26" i="1" s="1"/>
  <c r="K24" i="1"/>
  <c r="K26" i="1" s="1"/>
  <c r="L26" i="1" l="1"/>
</calcChain>
</file>

<file path=xl/sharedStrings.xml><?xml version="1.0" encoding="utf-8"?>
<sst xmlns="http://schemas.openxmlformats.org/spreadsheetml/2006/main" count="69" uniqueCount="40">
  <si>
    <t>Código  de cerramiento</t>
  </si>
  <si>
    <t>Tipo  de Contacto</t>
  </si>
  <si>
    <t>Descripción</t>
  </si>
  <si>
    <t>Ancho ( m)</t>
  </si>
  <si>
    <t>Largo ( m)</t>
  </si>
  <si>
    <t>Alto ( m)</t>
  </si>
  <si>
    <t>Sup. Total Cerramiento (m2)</t>
  </si>
  <si>
    <r>
      <t xml:space="preserve">¿ </t>
    </r>
    <r>
      <rPr>
        <b/>
        <sz val="7"/>
        <color indexed="9"/>
        <rFont val="Symbol"/>
        <family val="1"/>
        <charset val="204"/>
      </rPr>
      <t></t>
    </r>
    <r>
      <rPr>
        <sz val="7"/>
        <color indexed="9"/>
        <rFont val="Times New Roman"/>
        <family val="1"/>
        <charset val="204"/>
      </rPr>
      <t xml:space="preserve"> </t>
    </r>
    <r>
      <rPr>
        <sz val="7"/>
        <color indexed="9"/>
        <rFont val="Swis721 Lt BT"/>
        <family val="1"/>
        <charset val="204"/>
      </rPr>
      <t xml:space="preserve">a ET?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 xml:space="preserve">ET=1
</t>
    </r>
    <r>
      <rPr>
        <b/>
        <sz val="8"/>
        <color indexed="9"/>
        <rFont val="Symbol"/>
        <family val="1"/>
        <charset val="204"/>
      </rPr>
      <t></t>
    </r>
    <r>
      <rPr>
        <sz val="8"/>
        <color indexed="9"/>
        <rFont val="Times New Roman"/>
        <family val="1"/>
        <charset val="204"/>
      </rPr>
      <t xml:space="preserve"> </t>
    </r>
    <r>
      <rPr>
        <sz val="7"/>
        <color indexed="9"/>
        <rFont val="Swis721 Lt BT"/>
        <family val="1"/>
        <charset val="204"/>
      </rPr>
      <t>ET=0</t>
    </r>
  </si>
  <si>
    <t>Sup. E.T. (m2)</t>
  </si>
  <si>
    <t>COMPUT COMPAC  (* )
SI=1
NO=0</t>
  </si>
  <si>
    <t>S.  COMPUT. COMPACIDAD
(m2 )</t>
  </si>
  <si>
    <t>PLANTA CÁMARA SANITARIA. P01</t>
  </si>
  <si>
    <t>TOTALES PLANTA 01</t>
  </si>
  <si>
    <t>PLANTA BAJA. P02</t>
  </si>
  <si>
    <t>M2.N1</t>
  </si>
  <si>
    <t>EXTERIOR</t>
  </si>
  <si>
    <t>M2.E1</t>
  </si>
  <si>
    <t>M2.S1</t>
  </si>
  <si>
    <t>M2.O1</t>
  </si>
  <si>
    <t>F2.1</t>
  </si>
  <si>
    <t>NH</t>
  </si>
  <si>
    <t>SUELO</t>
  </si>
  <si>
    <t>F3.1</t>
  </si>
  <si>
    <t>TECHO</t>
  </si>
  <si>
    <t>TOTALES PLANTA 02</t>
  </si>
  <si>
    <t>PLANTA BAJOCUBIERTA. P03</t>
  </si>
  <si>
    <t>C3-N1</t>
  </si>
  <si>
    <t>CUBIERTA</t>
  </si>
  <si>
    <t>C3-E1</t>
  </si>
  <si>
    <t>C3-S1</t>
  </si>
  <si>
    <t>C3-O1</t>
  </si>
  <si>
    <t>TOTALES PLANTA 03</t>
  </si>
  <si>
    <t>TOTALES EDIFICIO</t>
  </si>
  <si>
    <t>La planta 01 correspondiente al nivel de cámara sanitaria. no se incluye en ninguna de las opciones dentro de la envolvente térmica por lo que no
se detallan en la tabla las características de sus cerramientos.</t>
  </si>
  <si>
    <t>M. FACHADA</t>
  </si>
  <si>
    <t>Volumen total de la envolvente</t>
  </si>
  <si>
    <t>Altura planta equiv</t>
  </si>
  <si>
    <t>Volumen ET</t>
  </si>
  <si>
    <t>Vol ET equiv</t>
  </si>
  <si>
    <t>Vol aire interior a 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</si>
</sst>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name val="Times New Roman"/>
      <family val="1"/>
      <charset val="204"/>
    </font>
    <font>
      <sz val="7"/>
      <color indexed="8"/>
      <name val="Arial"/>
      <family val="2"/>
    </font>
    <font>
      <sz val="7"/>
      <color indexed="9"/>
      <name val="Swis721 Lt BT"/>
      <family val="2"/>
    </font>
    <font>
      <b/>
      <sz val="7"/>
      <color indexed="9"/>
      <name val="Symbol"/>
      <family val="1"/>
      <charset val="204"/>
    </font>
    <font>
      <sz val="7"/>
      <color indexed="9"/>
      <name val="Times New Roman"/>
      <family val="1"/>
      <charset val="204"/>
    </font>
    <font>
      <sz val="7"/>
      <color indexed="9"/>
      <name val="Swis721 Lt BT"/>
      <family val="1"/>
      <charset val="204"/>
    </font>
    <font>
      <b/>
      <sz val="8"/>
      <color indexed="9"/>
      <name val="Symbol"/>
      <family val="1"/>
      <charset val="204"/>
    </font>
    <font>
      <sz val="8"/>
      <color indexed="9"/>
      <name val="Times New Roman"/>
      <family val="1"/>
      <charset val="204"/>
    </font>
    <font>
      <sz val="6"/>
      <color indexed="9"/>
      <name val="Swis721 Lt BT"/>
      <family val="1"/>
      <charset val="204"/>
    </font>
    <font>
      <sz val="7"/>
      <color indexed="8"/>
      <name val="Swis721 Lt BT"/>
      <family val="2"/>
    </font>
    <font>
      <sz val="7"/>
      <color indexed="8"/>
      <name val="Swis721 Lt BT"/>
      <family val="1"/>
      <charset val="204"/>
    </font>
    <font>
      <b/>
      <sz val="7"/>
      <color indexed="9"/>
      <name val="Arial"/>
      <family val="2"/>
    </font>
  </fonts>
  <fills count="7">
    <fill>
      <patternFill patternType="none"/>
    </fill>
    <fill>
      <patternFill patternType="gray125"/>
    </fill>
    <fill>
      <patternFill patternType="solid">
        <fgColor rgb="FF585858"/>
        <bgColor indexed="64"/>
      </patternFill>
    </fill>
    <fill>
      <patternFill patternType="solid">
        <fgColor rgb="FFDDD9C4"/>
        <bgColor indexed="64"/>
      </patternFill>
    </fill>
    <fill>
      <patternFill patternType="solid">
        <fgColor rgb="FFC4BC96"/>
        <bgColor indexed="64"/>
      </patternFill>
    </fill>
    <fill>
      <patternFill patternType="solid">
        <fgColor rgb="FFDAEDF3"/>
        <bgColor indexed="64"/>
      </patternFill>
    </fill>
    <fill>
      <patternFill patternType="solid">
        <fgColor rgb="FF938953"/>
        <bgColor indexed="64"/>
      </patternFill>
    </fill>
  </fills>
  <borders count="6">
    <border>
      <left/>
      <right/>
      <top/>
      <bottom/>
      <diagonal/>
    </border>
    <border>
      <left/>
      <right style="thin">
        <color rgb="FFFFFFFF"/>
      </right>
      <top/>
      <bottom style="thin">
        <color rgb="FF000000"/>
      </bottom>
      <diagonal/>
    </border>
    <border>
      <left style="thin">
        <color rgb="FFFFFFFF"/>
      </left>
      <right style="thin">
        <color rgb="FFFFFFFF"/>
      </right>
      <top/>
      <bottom style="thin">
        <color rgb="FF000000"/>
      </bottom>
      <diagonal/>
    </border>
    <border>
      <left/>
      <right style="thin">
        <color rgb="FFD9D9D9"/>
      </right>
      <top style="thin">
        <color rgb="FFD9D9D9"/>
      </top>
      <bottom/>
      <diagonal/>
    </border>
    <border>
      <left/>
      <right/>
      <top style="thin">
        <color rgb="FFD9D9D9"/>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3">
    <xf numFmtId="0" fontId="0" fillId="0" borderId="0" xfId="0"/>
    <xf numFmtId="0" fontId="3" fillId="2" borderId="1" xfId="0" applyFont="1" applyFill="1" applyBorder="1" applyAlignment="1">
      <alignment horizontal="left" vertical="top" wrapText="1"/>
    </xf>
    <xf numFmtId="0" fontId="3" fillId="2" borderId="2" xfId="0" applyFont="1" applyFill="1" applyBorder="1" applyAlignment="1">
      <alignment horizontal="left" vertical="top" wrapText="1" indent="1"/>
    </xf>
    <xf numFmtId="0" fontId="3" fillId="2" borderId="2" xfId="0" applyFont="1" applyFill="1" applyBorder="1" applyAlignment="1">
      <alignment horizontal="center" vertical="top" wrapText="1"/>
    </xf>
    <xf numFmtId="0" fontId="3" fillId="2" borderId="2" xfId="0" applyFont="1" applyFill="1" applyBorder="1" applyAlignment="1">
      <alignment horizontal="left" vertical="top" wrapText="1"/>
    </xf>
    <xf numFmtId="0" fontId="6" fillId="2" borderId="2" xfId="0" applyFont="1" applyFill="1" applyBorder="1" applyAlignment="1">
      <alignment horizontal="left" vertical="top" wrapText="1"/>
    </xf>
    <xf numFmtId="0" fontId="9" fillId="2" borderId="2" xfId="0" applyFont="1" applyFill="1" applyBorder="1" applyAlignment="1">
      <alignment horizontal="left" vertical="top" wrapText="1"/>
    </xf>
    <xf numFmtId="0" fontId="9" fillId="2" borderId="2" xfId="0" applyFont="1" applyFill="1" applyBorder="1" applyAlignment="1">
      <alignment horizontal="center" vertical="top" wrapText="1"/>
    </xf>
    <xf numFmtId="0" fontId="1" fillId="0" borderId="0" xfId="0" applyFont="1" applyAlignment="1">
      <alignment horizontal="left" vertical="top" wrapText="1"/>
    </xf>
    <xf numFmtId="0" fontId="10" fillId="0" borderId="0" xfId="0" applyFont="1" applyAlignment="1">
      <alignment horizontal="left" vertical="center" wrapText="1"/>
    </xf>
    <xf numFmtId="0" fontId="1" fillId="0" borderId="0" xfId="0" applyFont="1" applyAlignment="1">
      <alignment horizontal="left" wrapText="1"/>
    </xf>
    <xf numFmtId="0" fontId="10" fillId="3" borderId="0" xfId="0" applyFont="1" applyFill="1" applyAlignment="1">
      <alignment horizontal="left" vertical="top" wrapText="1"/>
    </xf>
    <xf numFmtId="0" fontId="10" fillId="4" borderId="0" xfId="0" applyFont="1" applyFill="1" applyAlignment="1">
      <alignment horizontal="center" vertical="top" wrapText="1"/>
    </xf>
    <xf numFmtId="0" fontId="1" fillId="3" borderId="0" xfId="0" applyFont="1" applyFill="1" applyAlignment="1">
      <alignment horizontal="left" wrapText="1"/>
    </xf>
    <xf numFmtId="0" fontId="10" fillId="5" borderId="5" xfId="0" applyFont="1" applyFill="1" applyBorder="1" applyAlignment="1">
      <alignment horizontal="right" vertical="top" wrapText="1" indent="2"/>
    </xf>
    <xf numFmtId="0" fontId="10" fillId="5" borderId="5" xfId="0" applyFont="1" applyFill="1" applyBorder="1" applyAlignment="1">
      <alignment horizontal="center" vertical="top" wrapText="1"/>
    </xf>
    <xf numFmtId="0" fontId="1" fillId="5" borderId="5" xfId="0" applyFont="1" applyFill="1" applyBorder="1" applyAlignment="1">
      <alignment horizontal="left" vertical="center" wrapText="1"/>
    </xf>
    <xf numFmtId="1" fontId="2" fillId="5" borderId="5" xfId="0" applyNumberFormat="1" applyFont="1" applyFill="1" applyBorder="1" applyAlignment="1">
      <alignment horizontal="center" vertical="top" shrinkToFit="1"/>
    </xf>
    <xf numFmtId="0" fontId="1" fillId="5" borderId="5" xfId="0" applyFont="1" applyFill="1" applyBorder="1" applyAlignment="1">
      <alignment horizontal="left" wrapText="1"/>
    </xf>
    <xf numFmtId="0" fontId="1" fillId="0" borderId="5" xfId="0" applyFont="1" applyBorder="1" applyAlignment="1">
      <alignment horizontal="left" vertical="center" wrapText="1"/>
    </xf>
    <xf numFmtId="0" fontId="10" fillId="0" borderId="5" xfId="0" applyFont="1" applyBorder="1" applyAlignment="1">
      <alignment horizontal="right" vertical="top" wrapText="1" indent="2"/>
    </xf>
    <xf numFmtId="0" fontId="10" fillId="0" borderId="5" xfId="0" applyFont="1" applyBorder="1" applyAlignment="1">
      <alignment horizontal="center" vertical="top" wrapText="1"/>
    </xf>
    <xf numFmtId="1" fontId="2" fillId="0" borderId="5" xfId="0" applyNumberFormat="1" applyFont="1" applyBorder="1" applyAlignment="1">
      <alignment horizontal="center" vertical="top" shrinkToFit="1"/>
    </xf>
    <xf numFmtId="0" fontId="1" fillId="0" borderId="5" xfId="0" applyFont="1" applyBorder="1" applyAlignment="1">
      <alignment horizontal="left" wrapText="1"/>
    </xf>
    <xf numFmtId="0" fontId="1" fillId="0" borderId="0" xfId="0" applyFont="1" applyAlignment="1">
      <alignment horizontal="left" wrapText="1"/>
    </xf>
    <xf numFmtId="0" fontId="12" fillId="4" borderId="0" xfId="0" applyFont="1" applyFill="1" applyAlignment="1">
      <alignment horizontal="left" vertical="top" wrapText="1"/>
    </xf>
    <xf numFmtId="0" fontId="12" fillId="6" borderId="0" xfId="0" applyFont="1" applyFill="1" applyAlignment="1">
      <alignment horizontal="center" vertical="top" wrapText="1"/>
    </xf>
    <xf numFmtId="0" fontId="1" fillId="4" borderId="0" xfId="0" applyFont="1" applyFill="1" applyAlignment="1">
      <alignment horizontal="left" wrapText="1"/>
    </xf>
    <xf numFmtId="0" fontId="11" fillId="0" borderId="4" xfId="0" applyFont="1" applyBorder="1" applyAlignment="1">
      <alignment horizontal="left" vertical="top"/>
    </xf>
    <xf numFmtId="0" fontId="11" fillId="0" borderId="3" xfId="0" applyFont="1" applyBorder="1" applyAlignment="1">
      <alignment horizontal="left" vertical="top"/>
    </xf>
    <xf numFmtId="0" fontId="1" fillId="0" borderId="0" xfId="0" applyFont="1" applyAlignment="1">
      <alignment horizontal="left" vertical="center"/>
    </xf>
    <xf numFmtId="0" fontId="0" fillId="0" borderId="0" xfId="0" applyAlignment="1"/>
    <xf numFmtId="1" fontId="10" fillId="4" borderId="0" xfId="0" applyNumberFormat="1"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8"/>
  <sheetViews>
    <sheetView tabSelected="1" workbookViewId="0">
      <selection activeCell="M39" sqref="M39"/>
    </sheetView>
  </sheetViews>
  <sheetFormatPr defaultRowHeight="14.4"/>
  <cols>
    <col min="12" max="12" width="11.44140625" bestFit="1" customWidth="1"/>
    <col min="13" max="13" width="16.33203125" bestFit="1" customWidth="1"/>
  </cols>
  <sheetData>
    <row r="1" spans="1:15" ht="31.2">
      <c r="A1" s="1" t="s">
        <v>0</v>
      </c>
      <c r="B1" s="2" t="s">
        <v>1</v>
      </c>
      <c r="C1" s="3" t="s">
        <v>2</v>
      </c>
      <c r="D1" s="4" t="s">
        <v>3</v>
      </c>
      <c r="E1" s="4" t="s">
        <v>4</v>
      </c>
      <c r="F1" s="2" t="s">
        <v>5</v>
      </c>
      <c r="G1" s="3" t="s">
        <v>6</v>
      </c>
      <c r="H1" s="5" t="s">
        <v>7</v>
      </c>
      <c r="I1" s="4" t="s">
        <v>8</v>
      </c>
      <c r="J1" s="6" t="s">
        <v>9</v>
      </c>
      <c r="K1" s="7" t="s">
        <v>10</v>
      </c>
      <c r="L1" s="8" t="s">
        <v>37</v>
      </c>
      <c r="M1" t="s">
        <v>36</v>
      </c>
      <c r="N1" t="s">
        <v>38</v>
      </c>
      <c r="O1" t="s">
        <v>39</v>
      </c>
    </row>
    <row r="2" spans="1:15">
      <c r="A2" s="9" t="s">
        <v>11</v>
      </c>
      <c r="B2" s="9"/>
      <c r="C2" s="9"/>
      <c r="D2" s="9"/>
      <c r="E2" s="9"/>
      <c r="F2" s="9"/>
      <c r="G2" s="9"/>
      <c r="H2" s="9"/>
      <c r="I2" s="9"/>
      <c r="J2" s="9"/>
      <c r="K2" s="9"/>
      <c r="L2" s="9"/>
    </row>
    <row r="3" spans="1:15" s="31" customFormat="1">
      <c r="A3" s="28" t="s">
        <v>33</v>
      </c>
      <c r="B3" s="28"/>
      <c r="C3" s="28"/>
      <c r="D3" s="28"/>
      <c r="E3" s="28"/>
      <c r="F3" s="28"/>
      <c r="G3" s="28"/>
      <c r="H3" s="28"/>
      <c r="I3" s="28"/>
      <c r="J3" s="28"/>
      <c r="K3" s="29"/>
      <c r="L3" s="30"/>
    </row>
    <row r="4" spans="1:15">
      <c r="A4" s="11" t="s">
        <v>12</v>
      </c>
      <c r="B4" s="11"/>
      <c r="C4" s="11"/>
      <c r="D4" s="11"/>
      <c r="E4" s="11"/>
      <c r="F4" s="11"/>
      <c r="G4" s="12">
        <v>0</v>
      </c>
      <c r="H4" s="13"/>
      <c r="I4" s="12">
        <v>0</v>
      </c>
      <c r="J4" s="13"/>
      <c r="K4" s="12">
        <v>0</v>
      </c>
      <c r="L4" s="10"/>
    </row>
    <row r="5" spans="1:15">
      <c r="A5" s="9" t="s">
        <v>13</v>
      </c>
      <c r="B5" s="9"/>
      <c r="C5" s="9"/>
      <c r="D5" s="9"/>
      <c r="E5" s="9"/>
      <c r="F5" s="9"/>
      <c r="G5" s="9"/>
      <c r="H5" s="9"/>
      <c r="I5" s="9"/>
      <c r="J5" s="9"/>
      <c r="K5" s="9"/>
      <c r="L5" s="9"/>
    </row>
    <row r="6" spans="1:15">
      <c r="A6" s="14" t="s">
        <v>14</v>
      </c>
      <c r="B6" s="15" t="s">
        <v>15</v>
      </c>
      <c r="C6" s="15" t="s">
        <v>34</v>
      </c>
      <c r="D6" s="16"/>
      <c r="E6" s="17">
        <v>8</v>
      </c>
      <c r="F6" s="17">
        <v>4</v>
      </c>
      <c r="G6" s="15">
        <v>32</v>
      </c>
      <c r="H6" s="17">
        <v>1</v>
      </c>
      <c r="I6" s="15">
        <v>32</v>
      </c>
      <c r="J6" s="17">
        <v>1</v>
      </c>
      <c r="K6" s="15">
        <v>32</v>
      </c>
      <c r="L6" s="10"/>
    </row>
    <row r="7" spans="1:15">
      <c r="A7" s="14" t="s">
        <v>16</v>
      </c>
      <c r="B7" s="15" t="s">
        <v>15</v>
      </c>
      <c r="C7" s="15" t="s">
        <v>34</v>
      </c>
      <c r="D7" s="16"/>
      <c r="E7" s="17">
        <v>8</v>
      </c>
      <c r="F7" s="17">
        <v>4</v>
      </c>
      <c r="G7" s="15">
        <v>32</v>
      </c>
      <c r="H7" s="17">
        <v>1</v>
      </c>
      <c r="I7" s="15">
        <v>32</v>
      </c>
      <c r="J7" s="17">
        <v>1</v>
      </c>
      <c r="K7" s="15">
        <v>32</v>
      </c>
      <c r="L7" s="10"/>
    </row>
    <row r="8" spans="1:15">
      <c r="A8" s="14" t="s">
        <v>17</v>
      </c>
      <c r="B8" s="15" t="s">
        <v>15</v>
      </c>
      <c r="C8" s="15" t="s">
        <v>34</v>
      </c>
      <c r="D8" s="18"/>
      <c r="E8" s="17">
        <v>8</v>
      </c>
      <c r="F8" s="17">
        <v>4</v>
      </c>
      <c r="G8" s="15">
        <v>32</v>
      </c>
      <c r="H8" s="17">
        <v>1</v>
      </c>
      <c r="I8" s="15">
        <v>32</v>
      </c>
      <c r="J8" s="17">
        <v>1</v>
      </c>
      <c r="K8" s="15">
        <v>32</v>
      </c>
      <c r="L8" s="10"/>
    </row>
    <row r="9" spans="1:15">
      <c r="A9" s="14" t="s">
        <v>18</v>
      </c>
      <c r="B9" s="15" t="s">
        <v>15</v>
      </c>
      <c r="C9" s="15" t="s">
        <v>34</v>
      </c>
      <c r="D9" s="16"/>
      <c r="E9" s="17">
        <v>8</v>
      </c>
      <c r="F9" s="17">
        <v>4</v>
      </c>
      <c r="G9" s="15">
        <v>32</v>
      </c>
      <c r="H9" s="17">
        <v>1</v>
      </c>
      <c r="I9" s="15">
        <v>32</v>
      </c>
      <c r="J9" s="17">
        <v>1</v>
      </c>
      <c r="K9" s="15">
        <v>32</v>
      </c>
      <c r="L9" s="10"/>
    </row>
    <row r="10" spans="1:15">
      <c r="A10" s="19"/>
      <c r="B10" s="19"/>
      <c r="C10" s="19"/>
      <c r="D10" s="19"/>
      <c r="E10" s="19"/>
      <c r="F10" s="19"/>
      <c r="G10" s="19"/>
      <c r="H10" s="19"/>
      <c r="I10" s="19"/>
      <c r="J10" s="19"/>
      <c r="K10" s="19"/>
      <c r="L10" s="10"/>
    </row>
    <row r="11" spans="1:15">
      <c r="A11" s="20" t="s">
        <v>19</v>
      </c>
      <c r="B11" s="21" t="s">
        <v>20</v>
      </c>
      <c r="C11" s="21" t="s">
        <v>21</v>
      </c>
      <c r="D11" s="22">
        <v>8</v>
      </c>
      <c r="E11" s="22">
        <v>8</v>
      </c>
      <c r="F11" s="19"/>
      <c r="G11" s="21">
        <v>64</v>
      </c>
      <c r="H11" s="22">
        <v>1</v>
      </c>
      <c r="I11" s="21">
        <v>64</v>
      </c>
      <c r="J11" s="22">
        <v>0</v>
      </c>
      <c r="K11" s="21">
        <v>0</v>
      </c>
      <c r="L11" s="10"/>
    </row>
    <row r="12" spans="1:15">
      <c r="A12" s="20" t="s">
        <v>22</v>
      </c>
      <c r="B12" s="21" t="s">
        <v>20</v>
      </c>
      <c r="C12" s="21" t="s">
        <v>23</v>
      </c>
      <c r="D12" s="22">
        <v>8</v>
      </c>
      <c r="E12" s="22">
        <v>8</v>
      </c>
      <c r="F12" s="19"/>
      <c r="G12" s="21">
        <v>64</v>
      </c>
      <c r="H12" s="22">
        <v>0</v>
      </c>
      <c r="I12" s="21">
        <v>0</v>
      </c>
      <c r="J12" s="22">
        <v>0</v>
      </c>
      <c r="K12" s="21">
        <v>0</v>
      </c>
      <c r="L12" s="10"/>
    </row>
    <row r="13" spans="1:15">
      <c r="A13" s="11" t="s">
        <v>24</v>
      </c>
      <c r="B13" s="11"/>
      <c r="C13" s="11"/>
      <c r="D13" s="11"/>
      <c r="E13" s="11"/>
      <c r="F13" s="11"/>
      <c r="G13" s="12">
        <v>256</v>
      </c>
      <c r="H13" s="13"/>
      <c r="I13" s="12">
        <v>192</v>
      </c>
      <c r="J13" s="13"/>
      <c r="K13" s="12">
        <v>128</v>
      </c>
      <c r="L13">
        <f>8*8*4</f>
        <v>256</v>
      </c>
      <c r="O13">
        <f>8*8*3.5</f>
        <v>224</v>
      </c>
    </row>
    <row r="14" spans="1:15">
      <c r="A14" s="9" t="s">
        <v>25</v>
      </c>
      <c r="B14" s="9"/>
      <c r="C14" s="9"/>
      <c r="D14" s="9"/>
      <c r="E14" s="9"/>
      <c r="F14" s="9"/>
      <c r="G14" s="9"/>
      <c r="H14" s="9"/>
      <c r="I14" s="9"/>
      <c r="J14" s="9"/>
      <c r="K14" s="9"/>
      <c r="L14" s="9"/>
    </row>
    <row r="15" spans="1:15">
      <c r="A15" s="14" t="s">
        <v>14</v>
      </c>
      <c r="B15" s="15" t="s">
        <v>15</v>
      </c>
      <c r="C15" s="15" t="s">
        <v>34</v>
      </c>
      <c r="D15" s="16"/>
      <c r="E15" s="17">
        <v>8</v>
      </c>
      <c r="F15" s="15">
        <v>0.5</v>
      </c>
      <c r="G15" s="15">
        <v>4</v>
      </c>
      <c r="H15" s="17">
        <v>1</v>
      </c>
      <c r="I15" s="17">
        <v>4</v>
      </c>
      <c r="J15" s="17">
        <v>1</v>
      </c>
      <c r="K15" s="15">
        <v>4</v>
      </c>
      <c r="L15" s="10"/>
    </row>
    <row r="16" spans="1:15">
      <c r="A16" s="14" t="s">
        <v>16</v>
      </c>
      <c r="B16" s="15" t="s">
        <v>15</v>
      </c>
      <c r="C16" s="15" t="s">
        <v>34</v>
      </c>
      <c r="D16" s="16"/>
      <c r="E16" s="17">
        <v>8</v>
      </c>
      <c r="F16" s="15">
        <v>0.5</v>
      </c>
      <c r="G16" s="15">
        <v>4</v>
      </c>
      <c r="H16" s="17">
        <v>1</v>
      </c>
      <c r="I16" s="17">
        <v>4</v>
      </c>
      <c r="J16" s="17">
        <v>1</v>
      </c>
      <c r="K16" s="15">
        <v>4</v>
      </c>
      <c r="L16" s="10"/>
    </row>
    <row r="17" spans="1:19">
      <c r="A17" s="14" t="s">
        <v>17</v>
      </c>
      <c r="B17" s="15" t="s">
        <v>15</v>
      </c>
      <c r="C17" s="15" t="s">
        <v>34</v>
      </c>
      <c r="D17" s="16"/>
      <c r="E17" s="17">
        <v>8</v>
      </c>
      <c r="F17" s="15">
        <v>0.5</v>
      </c>
      <c r="G17" s="15">
        <v>4</v>
      </c>
      <c r="H17" s="17">
        <v>1</v>
      </c>
      <c r="I17" s="17">
        <v>4</v>
      </c>
      <c r="J17" s="17">
        <v>1</v>
      </c>
      <c r="K17" s="15">
        <v>4</v>
      </c>
      <c r="L17" s="10"/>
    </row>
    <row r="18" spans="1:19">
      <c r="A18" s="14" t="s">
        <v>18</v>
      </c>
      <c r="B18" s="15" t="s">
        <v>15</v>
      </c>
      <c r="C18" s="15" t="s">
        <v>34</v>
      </c>
      <c r="D18" s="16"/>
      <c r="E18" s="17">
        <v>8</v>
      </c>
      <c r="F18" s="15">
        <v>0.5</v>
      </c>
      <c r="G18" s="15">
        <v>4</v>
      </c>
      <c r="H18" s="17">
        <v>1</v>
      </c>
      <c r="I18" s="17">
        <v>4</v>
      </c>
      <c r="J18" s="17">
        <v>1</v>
      </c>
      <c r="K18" s="15">
        <v>4</v>
      </c>
      <c r="L18" s="10">
        <f>8*8*0.5</f>
        <v>32</v>
      </c>
    </row>
    <row r="19" spans="1:19">
      <c r="A19" s="20" t="s">
        <v>22</v>
      </c>
      <c r="B19" s="21" t="s">
        <v>20</v>
      </c>
      <c r="C19" s="21" t="s">
        <v>21</v>
      </c>
      <c r="D19" s="22">
        <v>8</v>
      </c>
      <c r="E19" s="22">
        <v>8</v>
      </c>
      <c r="F19" s="23"/>
      <c r="G19" s="21">
        <v>64</v>
      </c>
      <c r="H19" s="22">
        <v>0</v>
      </c>
      <c r="I19" s="22">
        <v>0</v>
      </c>
      <c r="J19" s="22">
        <v>0</v>
      </c>
      <c r="K19" s="21">
        <v>0</v>
      </c>
      <c r="L19" s="10"/>
    </row>
    <row r="20" spans="1:19">
      <c r="A20" s="14" t="s">
        <v>26</v>
      </c>
      <c r="B20" s="15" t="s">
        <v>15</v>
      </c>
      <c r="C20" s="15" t="s">
        <v>27</v>
      </c>
      <c r="D20" s="17">
        <v>8</v>
      </c>
      <c r="E20" s="16"/>
      <c r="F20" s="15">
        <v>5.65</v>
      </c>
      <c r="G20" s="15">
        <v>22.6</v>
      </c>
      <c r="H20" s="17">
        <v>1</v>
      </c>
      <c r="I20" s="15">
        <v>22.6</v>
      </c>
      <c r="J20" s="17">
        <v>1</v>
      </c>
      <c r="K20" s="15">
        <v>22.6</v>
      </c>
      <c r="L20" s="10"/>
    </row>
    <row r="21" spans="1:19">
      <c r="A21" s="14" t="s">
        <v>28</v>
      </c>
      <c r="B21" s="15" t="s">
        <v>15</v>
      </c>
      <c r="C21" s="15" t="s">
        <v>27</v>
      </c>
      <c r="D21" s="17">
        <v>8</v>
      </c>
      <c r="E21" s="16"/>
      <c r="F21" s="15">
        <v>5.65</v>
      </c>
      <c r="G21" s="15">
        <v>22.6</v>
      </c>
      <c r="H21" s="17">
        <v>1</v>
      </c>
      <c r="I21" s="15">
        <v>22.6</v>
      </c>
      <c r="J21" s="17">
        <v>1</v>
      </c>
      <c r="K21" s="15">
        <v>22.6</v>
      </c>
      <c r="L21" s="10"/>
    </row>
    <row r="22" spans="1:19">
      <c r="A22" s="14" t="s">
        <v>29</v>
      </c>
      <c r="B22" s="15" t="s">
        <v>15</v>
      </c>
      <c r="C22" s="15" t="s">
        <v>27</v>
      </c>
      <c r="D22" s="17">
        <v>8</v>
      </c>
      <c r="E22" s="16"/>
      <c r="F22" s="15">
        <v>5.65</v>
      </c>
      <c r="G22" s="15">
        <v>22.6</v>
      </c>
      <c r="H22" s="17">
        <v>1</v>
      </c>
      <c r="I22" s="15">
        <v>22.6</v>
      </c>
      <c r="J22" s="17">
        <v>1</v>
      </c>
      <c r="K22" s="15">
        <v>22.6</v>
      </c>
      <c r="L22" s="10"/>
    </row>
    <row r="23" spans="1:19">
      <c r="A23" s="14" t="s">
        <v>30</v>
      </c>
      <c r="B23" s="15" t="s">
        <v>15</v>
      </c>
      <c r="C23" s="15" t="s">
        <v>27</v>
      </c>
      <c r="D23" s="17">
        <v>8</v>
      </c>
      <c r="E23" s="16"/>
      <c r="F23" s="15">
        <v>5.65</v>
      </c>
      <c r="G23" s="15">
        <v>22.6</v>
      </c>
      <c r="H23" s="17">
        <v>1</v>
      </c>
      <c r="I23" s="15">
        <v>22.6</v>
      </c>
      <c r="J23" s="17">
        <v>1</v>
      </c>
      <c r="K23" s="15">
        <v>22.6</v>
      </c>
      <c r="L23" s="10">
        <f>8*8*(5.5)/3</f>
        <v>117.33333333333333</v>
      </c>
      <c r="M23">
        <f>1.5+1/3</f>
        <v>1.8333333333333333</v>
      </c>
      <c r="N23">
        <f>8*8*M23</f>
        <v>117.33333333333333</v>
      </c>
      <c r="S23">
        <f>N23*3/64</f>
        <v>5.5</v>
      </c>
    </row>
    <row r="24" spans="1:19">
      <c r="A24" s="11" t="s">
        <v>31</v>
      </c>
      <c r="B24" s="11"/>
      <c r="C24" s="11"/>
      <c r="D24" s="11"/>
      <c r="E24" s="11"/>
      <c r="F24" s="11"/>
      <c r="G24" s="12">
        <f>SUM(G15:G23)</f>
        <v>170.39999999999998</v>
      </c>
      <c r="H24" s="13"/>
      <c r="I24" s="32">
        <f>SUM(I15:I23)</f>
        <v>106.4</v>
      </c>
      <c r="J24" s="13"/>
      <c r="K24" s="12">
        <f>SUM(K15:K23)</f>
        <v>106.4</v>
      </c>
      <c r="L24" s="10">
        <f>L18+L23</f>
        <v>149.33333333333331</v>
      </c>
      <c r="M24">
        <f>2+1/3</f>
        <v>2.3333333333333335</v>
      </c>
      <c r="N24">
        <f>8*8*M24</f>
        <v>149.33333333333334</v>
      </c>
    </row>
    <row r="25" spans="1:19">
      <c r="A25" s="24"/>
      <c r="B25" s="24"/>
      <c r="C25" s="24"/>
      <c r="D25" s="24"/>
      <c r="E25" s="24"/>
      <c r="F25" s="24"/>
      <c r="G25" s="10"/>
      <c r="H25" s="10"/>
      <c r="I25" s="10"/>
      <c r="J25" s="10"/>
      <c r="K25" s="10"/>
      <c r="L25" s="10"/>
    </row>
    <row r="26" spans="1:19">
      <c r="A26" s="25" t="s">
        <v>32</v>
      </c>
      <c r="B26" s="25"/>
      <c r="C26" s="25"/>
      <c r="D26" s="25"/>
      <c r="E26" s="25"/>
      <c r="F26" s="25"/>
      <c r="G26" s="26">
        <f>G13+G24</f>
        <v>426.4</v>
      </c>
      <c r="H26" s="27"/>
      <c r="I26" s="26">
        <f>I13+I24</f>
        <v>298.39999999999998</v>
      </c>
      <c r="J26" s="27"/>
      <c r="K26" s="26">
        <f>K13+K24</f>
        <v>234.4</v>
      </c>
      <c r="L26" s="10">
        <f>L13+L18+L23</f>
        <v>405.33333333333331</v>
      </c>
    </row>
    <row r="28" spans="1:19">
      <c r="A28" t="s">
        <v>35</v>
      </c>
    </row>
  </sheetData>
  <mergeCells count="9">
    <mergeCell ref="A24:F24"/>
    <mergeCell ref="A25:F25"/>
    <mergeCell ref="A26:F26"/>
    <mergeCell ref="A2:L2"/>
    <mergeCell ref="A3:K3"/>
    <mergeCell ref="A4:F4"/>
    <mergeCell ref="A5:L5"/>
    <mergeCell ref="A13:F13"/>
    <mergeCell ref="A14:L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Tomás González Llarena</cp:lastModifiedBy>
  <dcterms:created xsi:type="dcterms:W3CDTF">2015-06-05T18:17:20Z</dcterms:created>
  <dcterms:modified xsi:type="dcterms:W3CDTF">2025-11-25T07:04:31Z</dcterms:modified>
</cp:coreProperties>
</file>