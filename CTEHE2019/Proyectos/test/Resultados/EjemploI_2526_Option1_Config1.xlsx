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codeName="ThisWorkbook"/>
  <mc:AlternateContent xmlns:mc="http://schemas.openxmlformats.org/markup-compatibility/2006">
    <mc:Choice Requires="x15">
      <x15ac:absPath xmlns:x15ac="http://schemas.microsoft.com/office/spreadsheetml/2010/11/ac" url="C:\ProyectosCTEyCEE\CTEHE2019\Proyectos\EjemploI_2526_Option1_Config1\Resultados\"/>
    </mc:Choice>
  </mc:AlternateContent>
  <xr:revisionPtr revIDLastSave="0" documentId="13_ncr:1_{AC5B7FAC-5DF5-40EA-8698-AFB964EFA9FD}" xr6:coauthVersionLast="47" xr6:coauthVersionMax="47" xr10:uidLastSave="{00000000-0000-0000-0000-000000000000}"/>
  <bookViews>
    <workbookView xWindow="48" yWindow="12240" windowWidth="24888" windowHeight="12960" activeTab="2" xr2:uid="{00000000-000D-0000-FFFF-FFFF00000000}"/>
  </bookViews>
  <sheets>
    <sheet name="Geometria" sheetId="5" r:id="rId1"/>
    <sheet name="K_global" sheetId="1" r:id="rId2"/>
    <sheet name="PT" sheetId="8" r:id="rId3"/>
    <sheet name="q_sol;jul" sheetId="2" r:id="rId4"/>
    <sheet name="Cale" sheetId="7" r:id="rId5"/>
    <sheet name="Refri" sheetId="6" r:id="rId6"/>
    <sheet name="tabla" sheetId="4" r:id="rId7"/>
    <sheet name="Sheet1" sheetId="3" r:id="rId8"/>
  </sheets>
  <definedNames>
    <definedName name="ExternalData_1" localSheetId="6" hidden="1">tabla!$A$1:$R$10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0" i="8" l="1"/>
  <c r="C19" i="8"/>
  <c r="C21" i="8"/>
  <c r="C20" i="8"/>
  <c r="C3" i="8"/>
  <c r="C11" i="8"/>
  <c r="C22" i="8"/>
  <c r="C5" i="8"/>
  <c r="H4" i="8" l="1"/>
  <c r="H5" i="8"/>
  <c r="H6" i="8"/>
  <c r="H7" i="8"/>
  <c r="H8" i="8"/>
  <c r="H9" i="8"/>
  <c r="H10" i="8"/>
  <c r="H11" i="8"/>
  <c r="H12" i="8"/>
  <c r="H13" i="8"/>
  <c r="H14" i="8"/>
  <c r="H15" i="8"/>
  <c r="H16" i="8"/>
  <c r="H17" i="8"/>
  <c r="H18" i="8"/>
  <c r="H19" i="8"/>
  <c r="H20" i="8"/>
  <c r="H21" i="8"/>
  <c r="H3" i="8"/>
  <c r="N52" i="1"/>
  <c r="P41" i="6" l="1"/>
  <c r="N41" i="6"/>
  <c r="Q56" i="2"/>
  <c r="Q57" i="2"/>
  <c r="Q58" i="2"/>
  <c r="Q59" i="2"/>
  <c r="Q60" i="2"/>
  <c r="Q61" i="2"/>
  <c r="Q62" i="2"/>
  <c r="Q63" i="2"/>
  <c r="Q55" i="2"/>
  <c r="L11" i="7"/>
  <c r="T14" i="4"/>
  <c r="T13" i="4"/>
  <c r="L14" i="4"/>
  <c r="D13" i="4"/>
  <c r="E13" i="4"/>
  <c r="F13" i="4"/>
  <c r="S13" i="4" s="1"/>
  <c r="G13" i="4"/>
  <c r="H13" i="4"/>
  <c r="I13" i="4"/>
  <c r="J13" i="4"/>
  <c r="K13" i="4"/>
  <c r="L13" i="4"/>
  <c r="M13" i="4"/>
  <c r="N13" i="4"/>
  <c r="C13" i="4"/>
  <c r="S14" i="4"/>
  <c r="P13" i="4"/>
  <c r="Q13" i="4"/>
  <c r="R13" i="4"/>
  <c r="Q2" i="4" l="1"/>
  <c r="Q3" i="4"/>
  <c r="Q4" i="4"/>
  <c r="Q5" i="4"/>
  <c r="Q6" i="4"/>
  <c r="Q7" i="4"/>
  <c r="Q8" i="4"/>
  <c r="Q9" i="4"/>
  <c r="Q10" i="4"/>
  <c r="O2" i="4"/>
  <c r="O3" i="4"/>
  <c r="O4" i="4"/>
  <c r="O13" i="4" s="1"/>
  <c r="O5" i="4"/>
  <c r="O6" i="4"/>
  <c r="O7" i="4"/>
  <c r="O8" i="4"/>
  <c r="O9" i="4"/>
  <c r="O10" i="4"/>
  <c r="Q4" i="3"/>
  <c r="X15" i="2"/>
  <c r="X9" i="2"/>
  <c r="AB4" i="2" l="1"/>
  <c r="AB5" i="2"/>
  <c r="AC5" i="2"/>
  <c r="AB6" i="2"/>
  <c r="AC6" i="2"/>
  <c r="AB7" i="2"/>
  <c r="AC7" i="2"/>
  <c r="AB8" i="2"/>
  <c r="AC8" i="2"/>
  <c r="AC4" i="2"/>
  <c r="AA4" i="2"/>
  <c r="AA5" i="2"/>
  <c r="AA6" i="2"/>
  <c r="AA7" i="2"/>
  <c r="AA8" i="2"/>
  <c r="Z5" i="2"/>
  <c r="Z6" i="2"/>
  <c r="Z7" i="2"/>
  <c r="Z8" i="2"/>
  <c r="Z4" i="2"/>
  <c r="Y5" i="2"/>
  <c r="Y6" i="2"/>
  <c r="Y7" i="2"/>
  <c r="Y8" i="2"/>
  <c r="Y4" i="2"/>
  <c r="M9" i="2"/>
  <c r="M5" i="2"/>
  <c r="M6" i="2"/>
  <c r="E53" i="1"/>
  <c r="D53" i="1"/>
  <c r="F49" i="1"/>
  <c r="G49" i="1"/>
  <c r="H49"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899FE5C-395A-4D26-A651-64BF4EF0F769}" keepAlive="1" name="Query - tabla" description="Connection to the 'tabla' query in the workbook." type="5" refreshedVersion="8" background="1" saveData="1">
    <dbPr connection="Provider=Microsoft.Mashup.OleDb.1;Data Source=$Workbook$;Location=tabla;Extended Properties=&quot;&quot;" command="SELECT * FROM [tabla]"/>
  </connection>
</connections>
</file>

<file path=xl/sharedStrings.xml><?xml version="1.0" encoding="utf-8"?>
<sst xmlns="http://schemas.openxmlformats.org/spreadsheetml/2006/main" count="657" uniqueCount="307">
  <si>
    <t>Código  del elemento</t>
  </si>
  <si>
    <t>Tipo  de Contacto</t>
  </si>
  <si>
    <t>Descripción</t>
  </si>
  <si>
    <r>
      <t xml:space="preserve">¿ </t>
    </r>
    <r>
      <rPr>
        <b/>
        <sz val="7"/>
        <color indexed="9"/>
        <rFont val="Symbol"/>
        <family val="1"/>
        <charset val="204"/>
      </rPr>
      <t></t>
    </r>
    <r>
      <rPr>
        <sz val="7"/>
        <color indexed="9"/>
        <rFont val="Times New Roman"/>
        <family val="1"/>
        <charset val="204"/>
      </rPr>
      <t xml:space="preserve"> </t>
    </r>
    <r>
      <rPr>
        <sz val="7"/>
        <color indexed="9"/>
        <rFont val="Swis721 Lt BT"/>
        <family val="1"/>
        <charset val="204"/>
      </rPr>
      <t xml:space="preserve">a ET?
</t>
    </r>
    <r>
      <rPr>
        <b/>
        <sz val="8"/>
        <color indexed="9"/>
        <rFont val="Symbol"/>
        <family val="1"/>
        <charset val="204"/>
      </rPr>
      <t></t>
    </r>
    <r>
      <rPr>
        <sz val="8"/>
        <color indexed="9"/>
        <rFont val="Times New Roman"/>
        <family val="1"/>
        <charset val="204"/>
      </rPr>
      <t xml:space="preserve"> </t>
    </r>
    <r>
      <rPr>
        <sz val="7"/>
        <color indexed="9"/>
        <rFont val="Swis721 Lt BT"/>
        <family val="1"/>
        <charset val="204"/>
      </rPr>
      <t xml:space="preserve">ET=1
</t>
    </r>
    <r>
      <rPr>
        <b/>
        <sz val="8"/>
        <color indexed="9"/>
        <rFont val="Symbol"/>
        <family val="1"/>
        <charset val="204"/>
      </rPr>
      <t></t>
    </r>
    <r>
      <rPr>
        <sz val="8"/>
        <color indexed="9"/>
        <rFont val="Times New Roman"/>
        <family val="1"/>
        <charset val="204"/>
      </rPr>
      <t xml:space="preserve"> </t>
    </r>
    <r>
      <rPr>
        <sz val="7"/>
        <color indexed="9"/>
        <rFont val="Swis721 Lt BT"/>
        <family val="1"/>
        <charset val="204"/>
      </rPr>
      <t>ET=0</t>
    </r>
  </si>
  <si>
    <t>Contacto EXTERIOR  o
TERRENO
( btr,x)
SI=1 N0=0</t>
  </si>
  <si>
    <t>Sup. Parte OPACA ( m 2)</t>
  </si>
  <si>
    <t>Sup.
HUECO  ( m 2)</t>
  </si>
  <si>
    <t>Sup. E.T. en contacto
EXTERIOR  o TERRENO (m2)</t>
  </si>
  <si>
    <t>U
W/ m2K</t>
  </si>
  <si>
    <r>
      <t xml:space="preserve">U </t>
    </r>
    <r>
      <rPr>
        <sz val="6"/>
        <color indexed="9"/>
        <rFont val="Swis721 Lt BT"/>
        <family val="1"/>
        <charset val="204"/>
      </rPr>
      <t xml:space="preserve">x  Área
</t>
    </r>
    <r>
      <rPr>
        <sz val="7"/>
        <color indexed="9"/>
        <rFont val="Swis721 Lt BT"/>
        <family val="1"/>
        <charset val="204"/>
      </rPr>
      <t>W/ K</t>
    </r>
  </si>
  <si>
    <t>TOTALES PLANTA 01</t>
  </si>
  <si>
    <t>PLANTA BAJA. P02</t>
  </si>
  <si>
    <t>M2.N1</t>
  </si>
  <si>
    <t>EXTERIOR</t>
  </si>
  <si>
    <t>H2-N1</t>
  </si>
  <si>
    <t>VENTANA</t>
  </si>
  <si>
    <t>M2.E1</t>
  </si>
  <si>
    <t>H2-E1</t>
  </si>
  <si>
    <t>M2.S1</t>
  </si>
  <si>
    <t>H2-S1</t>
  </si>
  <si>
    <t>M2.O1</t>
  </si>
  <si>
    <t>H2-O1</t>
  </si>
  <si>
    <t>PUERTA</t>
  </si>
  <si>
    <t>H2-O2</t>
  </si>
  <si>
    <t>F2.1</t>
  </si>
  <si>
    <t>NH</t>
  </si>
  <si>
    <t>SUELO</t>
  </si>
  <si>
    <t>-</t>
  </si>
  <si>
    <t>F3.1</t>
  </si>
  <si>
    <t>TECHO</t>
  </si>
  <si>
    <t>TOTALES PLANTA 02</t>
  </si>
  <si>
    <t>PLANTA BAJOCUBIERTA. P03</t>
  </si>
  <si>
    <t>C3-N1</t>
  </si>
  <si>
    <t>CUBIERTA</t>
  </si>
  <si>
    <t>C3-E1</t>
  </si>
  <si>
    <t>C3-S1</t>
  </si>
  <si>
    <t>C3-O1</t>
  </si>
  <si>
    <t>TOTALES PLANTA 03</t>
  </si>
  <si>
    <t>TOTALES EDIFICIO</t>
  </si>
  <si>
    <t>P   U   E   N   T   E   S     T   É   R  M   I   C   O   S</t>
  </si>
  <si>
    <t>Definición</t>
  </si>
  <si>
    <r>
      <t xml:space="preserve">Ψ
T. lineal
</t>
    </r>
    <r>
      <rPr>
        <sz val="7"/>
        <color indexed="9"/>
        <rFont val="Swis721 Lt BT"/>
        <family val="1"/>
        <charset val="204"/>
      </rPr>
      <t>W/ m·K</t>
    </r>
  </si>
  <si>
    <t>Longitud L(m)</t>
  </si>
  <si>
    <r>
      <t xml:space="preserve">Ψ  </t>
    </r>
    <r>
      <rPr>
        <sz val="7"/>
        <color indexed="9"/>
        <rFont val="Swis721 Lt BT"/>
        <family val="1"/>
        <charset val="204"/>
      </rPr>
      <t>x  L W/ K</t>
    </r>
  </si>
  <si>
    <t>Frente forjados</t>
  </si>
  <si>
    <t>Cubiertas planas</t>
  </si>
  <si>
    <t>Esquinas exteriores</t>
  </si>
  <si>
    <t>Esquinas interiores</t>
  </si>
  <si>
    <t>Forjado int contacto aire</t>
  </si>
  <si>
    <t>Alfeizar</t>
  </si>
  <si>
    <t>Dinteles/capialzados</t>
  </si>
  <si>
    <t>Jambas</t>
  </si>
  <si>
    <t>Pilares</t>
  </si>
  <si>
    <t>Suelos con terreno</t>
  </si>
  <si>
    <t>PLANTA CÁMARA SANITARIA. P01
La planta 01 correspondiente al nivel de cámara sanitaria. no se incluye en ninguna de las opciones dentro de la envolvente térmica por lo que no se detallan en la tabla las características de sus cerramientos.</t>
  </si>
  <si>
    <t>M. FACHADA</t>
  </si>
  <si>
    <t>99.40             28.60             128.00</t>
  </si>
  <si>
    <t>CÁLCULO</t>
  </si>
  <si>
    <t>C   O   M</t>
  </si>
  <si>
    <t>P   R   O   B   A   C   I   Ó   N          K</t>
  </si>
  <si>
    <t>K
EDIFICIO</t>
  </si>
  <si>
    <r>
      <t>K</t>
    </r>
    <r>
      <rPr>
        <sz val="6"/>
        <color indexed="9"/>
        <rFont val="Swis721 Lt BT"/>
        <family val="1"/>
        <charset val="204"/>
      </rPr>
      <t>lim</t>
    </r>
  </si>
  <si>
    <r>
      <t xml:space="preserve">Cumplimiento
</t>
    </r>
    <r>
      <rPr>
        <i/>
        <sz val="7"/>
        <color indexed="9"/>
        <rFont val="Swis721 Lt BT"/>
        <family val="1"/>
        <charset val="204"/>
      </rPr>
      <t>Valores l imite</t>
    </r>
  </si>
  <si>
    <t>NO CUMPLE</t>
  </si>
  <si>
    <t>DATOS PREVIOS
COMPACIDAD DEL EDIFICIO:                            2.00</t>
  </si>
  <si>
    <t>K= Σx Hx / Aint = Σx btr.x [ Σi Ax.i Ux.i + Σk lx k ψx. k +
Σj xx. j ] / Σx Σi btr.x Ax.i</t>
  </si>
  <si>
    <t>K=(56.80+18.02)/128 = 0.585</t>
  </si>
  <si>
    <t>0 .58</t>
  </si>
  <si>
    <t>0 .49</t>
  </si>
  <si>
    <t>Psi wavg</t>
  </si>
  <si>
    <t>Có digo del
elemento</t>
  </si>
  <si>
    <t>Descr ipció n</t>
  </si>
  <si>
    <t>ORI E N T A C I ÓN</t>
  </si>
  <si>
    <t>S up. H U E C O
(m2 )</t>
  </si>
  <si>
    <t>Frac c ión de
marc o e n  tanto por uno</t>
  </si>
  <si>
    <r>
      <t>R ad. so lar plano
v idr io sin o bstáculo s (*)
H</t>
    </r>
    <r>
      <rPr>
        <sz val="5"/>
        <color indexed="9"/>
        <rFont val="Swis721 Lt BT"/>
        <family val="1"/>
        <charset val="204"/>
      </rPr>
      <t xml:space="preserve">sol ;j ul
</t>
    </r>
    <r>
      <rPr>
        <sz val="7"/>
        <color indexed="9"/>
        <rFont val="Swis721 Lt BT"/>
        <family val="1"/>
        <charset val="204"/>
      </rPr>
      <t>( K Wh/ m2)</t>
    </r>
  </si>
  <si>
    <t>g_gl;wi</t>
  </si>
  <si>
    <t>Ganancia So lar de J ulio a
tr av és del hueco
( K Wh/ m2)</t>
  </si>
  <si>
    <t>Ganancia so lar TOTAL de J ulio a
tr av és del hueco
( K Wh)</t>
  </si>
  <si>
    <t>VENTANA TIPO NORTE</t>
  </si>
  <si>
    <t>NORTE</t>
  </si>
  <si>
    <t>VENTANA TIPO ESTE</t>
  </si>
  <si>
    <t>ESTE</t>
  </si>
  <si>
    <t>VENTANA TIPO SUR</t>
  </si>
  <si>
    <t>SUR</t>
  </si>
  <si>
    <t>PUERTA TIPO OESTE</t>
  </si>
  <si>
    <t>OESTE</t>
  </si>
  <si>
    <t>VENTANA TIPO OESTE</t>
  </si>
  <si>
    <t>g_gl;sh.wi</t>
  </si>
  <si>
    <t>F_gl;sh.o bst</t>
  </si>
  <si>
    <t>PLANTA CÁMARA SANITARIA. P01
La planta 01 correspondiente al nivel de cámara sanitaria. no incluye ningún hueco por lo que no se detalla en la tabla.</t>
  </si>
  <si>
    <t>La planta 03  correspondiente al nivel bajocubierta. no incluye ningún hueco por lo que no se detalla en la tabla.</t>
  </si>
  <si>
    <t>F_sh;obst</t>
  </si>
  <si>
    <t>I should have less obstruction</t>
  </si>
  <si>
    <t>P02_E01_PE001_V</t>
  </si>
  <si>
    <t>P02_E01_PE002_V</t>
  </si>
  <si>
    <t>P02_E01_PE003_V</t>
  </si>
  <si>
    <t>P02_E01_PE004_V</t>
  </si>
  <si>
    <t>P02_E01_PE004_V2</t>
  </si>
  <si>
    <t>KyGananciasSolares</t>
  </si>
  <si>
    <t>Radiación solar global en el plano del vidrio sin obstáculos (Wh/m2)</t>
  </si>
  <si>
    <t>Radiación solar global en el plano del vidrio tras obstaculos remotos (Wh/m2)</t>
  </si>
  <si>
    <t>Radiación solar global en el plano del vidrio tras obstaculos de fachada (voladizos, retranqueos, ...) (Wh/m2)</t>
  </si>
  <si>
    <t>Radiación solar global en el plano del vidrio tras sombras por lamas (Wh/m2)</t>
  </si>
  <si>
    <t>Ganancia Solar a través de este hueco (Wh/m2)</t>
  </si>
  <si>
    <t>F sombras remotas</t>
  </si>
  <si>
    <t>F obstaculos fachada</t>
  </si>
  <si>
    <t>F lamas</t>
  </si>
  <si>
    <t>F marco*persianas</t>
  </si>
  <si>
    <t>Superficie</t>
  </si>
  <si>
    <t>fsh;with</t>
  </si>
  <si>
    <t>ENE</t>
  </si>
  <si>
    <t>FEB</t>
  </si>
  <si>
    <t>MAR</t>
  </si>
  <si>
    <t>ABR</t>
  </si>
  <si>
    <t>MAY</t>
  </si>
  <si>
    <t>JUN</t>
  </si>
  <si>
    <t>JUL</t>
  </si>
  <si>
    <t>AGO</t>
  </si>
  <si>
    <t>SET</t>
  </si>
  <si>
    <t>OCT</t>
  </si>
  <si>
    <t>NOV</t>
  </si>
  <si>
    <t>DIC</t>
  </si>
  <si>
    <t>fsh;with;on</t>
  </si>
  <si>
    <t>(JUN-SET)</t>
  </si>
  <si>
    <t>fsh;with;off</t>
  </si>
  <si>
    <t>(ENE-MAY</t>
  </si>
  <si>
    <t>OCT-DIC)</t>
  </si>
  <si>
    <t>HZ </t>
  </si>
  <si>
    <t>I &gt; 300</t>
  </si>
  <si>
    <t>0.48 </t>
  </si>
  <si>
    <t>0.64 </t>
  </si>
  <si>
    <t>0.76 </t>
  </si>
  <si>
    <t>0.82 </t>
  </si>
  <si>
    <t>0.84 </t>
  </si>
  <si>
    <t>0.85 </t>
  </si>
  <si>
    <t>0.86 </t>
  </si>
  <si>
    <t>0.88 </t>
  </si>
  <si>
    <t>0.80 </t>
  </si>
  <si>
    <t>0.73 </t>
  </si>
  <si>
    <t>0.56 </t>
  </si>
  <si>
    <t>0.40 </t>
  </si>
  <si>
    <t>0.65 </t>
  </si>
  <si>
    <t>NE </t>
  </si>
  <si>
    <t>0.00 </t>
  </si>
  <si>
    <t>0.11 </t>
  </si>
  <si>
    <t>0.34 </t>
  </si>
  <si>
    <t>0.45 </t>
  </si>
  <si>
    <t>0.47 </t>
  </si>
  <si>
    <t>0.50 </t>
  </si>
  <si>
    <t>0.23 </t>
  </si>
  <si>
    <t>0.01 </t>
  </si>
  <si>
    <t>0.41 </t>
  </si>
  <si>
    <t>E </t>
  </si>
  <si>
    <t>0.54 </t>
  </si>
  <si>
    <t>0.61 </t>
  </si>
  <si>
    <t>0.60 </t>
  </si>
  <si>
    <t>0.67 </t>
  </si>
  <si>
    <t>0.58 </t>
  </si>
  <si>
    <t>0.55 </t>
  </si>
  <si>
    <t>0.49 </t>
  </si>
  <si>
    <t>0.63 </t>
  </si>
  <si>
    <t>0.53 </t>
  </si>
  <si>
    <t>SE </t>
  </si>
  <si>
    <t>0.68 </t>
  </si>
  <si>
    <t>0.57 </t>
  </si>
  <si>
    <t>0.75 </t>
  </si>
  <si>
    <t>0.72 </t>
  </si>
  <si>
    <t>0.79 </t>
  </si>
  <si>
    <t>0.74 </t>
  </si>
  <si>
    <t>0.78 </t>
  </si>
  <si>
    <t>S </t>
  </si>
  <si>
    <t>0.46 </t>
  </si>
  <si>
    <t>0.69 </t>
  </si>
  <si>
    <t>0.81 </t>
  </si>
  <si>
    <t>0.62 </t>
  </si>
  <si>
    <t>SW </t>
  </si>
  <si>
    <t>0.70 </t>
  </si>
  <si>
    <t>0.71 </t>
  </si>
  <si>
    <t>0.66 </t>
  </si>
  <si>
    <t>W </t>
  </si>
  <si>
    <t>0.52 </t>
  </si>
  <si>
    <t>0.59 </t>
  </si>
  <si>
    <t>0.38 </t>
  </si>
  <si>
    <t>NW </t>
  </si>
  <si>
    <t>0.03 </t>
  </si>
  <si>
    <t>0.17 </t>
  </si>
  <si>
    <t>0.31 </t>
  </si>
  <si>
    <t>0.20 </t>
  </si>
  <si>
    <t>0.39 </t>
  </si>
  <si>
    <t>0.12 </t>
  </si>
  <si>
    <t>N </t>
  </si>
  <si>
    <t>Column1</t>
  </si>
  <si>
    <t>Column2</t>
  </si>
  <si>
    <t>Column4</t>
  </si>
  <si>
    <t>HZ</t>
  </si>
  <si>
    <t>NE</t>
  </si>
  <si>
    <t>E</t>
  </si>
  <si>
    <t>SE</t>
  </si>
  <si>
    <t>S</t>
  </si>
  <si>
    <t>SW</t>
  </si>
  <si>
    <t>W</t>
  </si>
  <si>
    <t>NW</t>
  </si>
  <si>
    <t>N</t>
  </si>
  <si>
    <t>Jan</t>
  </si>
  <si>
    <t>Feb</t>
  </si>
  <si>
    <t>Mar</t>
  </si>
  <si>
    <t>Apr</t>
  </si>
  <si>
    <t>May</t>
  </si>
  <si>
    <t>Jun</t>
  </si>
  <si>
    <t>Jul</t>
  </si>
  <si>
    <t>Aug</t>
  </si>
  <si>
    <t>Sep</t>
  </si>
  <si>
    <t>Oct</t>
  </si>
  <si>
    <t>Nov</t>
  </si>
  <si>
    <t>Dec</t>
  </si>
  <si>
    <t>l&gt;300</t>
  </si>
  <si>
    <t>fsh;with;on
(JUN-SET)</t>
  </si>
  <si>
    <t>fsh;with;off
(ENE-MAY
OCT-DIC)</t>
  </si>
  <si>
    <t>Ave  Oct-May</t>
  </si>
  <si>
    <t>Ave Jun-Set</t>
  </si>
  <si>
    <t>SERVICIO</t>
  </si>
  <si>
    <t>VECTOR
ENERGÉTI CO</t>
  </si>
  <si>
    <t>[ D]
KW·h/ m 2·año</t>
  </si>
  <si>
    <t>Consumo
E. Final
KW·h/ m 2·año</t>
  </si>
  <si>
    <t>factor  de paso  a E.P.T.</t>
  </si>
  <si>
    <t>Consumo
E. Prim. Total
KW·h/ m 2·año</t>
  </si>
  <si>
    <t>factor  de paso  a
E.P.N.R.</t>
  </si>
  <si>
    <t>Consumo
E. P. NO RENOV.
KW·h/ m 2·año</t>
  </si>
  <si>
    <t>Consumo
E. P. RENOV.
KW·h/ m 2·año</t>
  </si>
  <si>
    <t>CALEFACCIÓN</t>
  </si>
  <si>
    <t>BIOMASA</t>
  </si>
  <si>
    <t>69,37</t>
  </si>
  <si>
    <t>73,66</t>
  </si>
  <si>
    <t>81,98</t>
  </si>
  <si>
    <t>0,085</t>
  </si>
  <si>
    <t>6,26</t>
  </si>
  <si>
    <t>75,72</t>
  </si>
  <si>
    <t>GAS NATURAL (*)</t>
  </si>
  <si>
    <t>0,90</t>
  </si>
  <si>
    <t>1,07</t>
  </si>
  <si>
    <t>1,19</t>
  </si>
  <si>
    <t>0,004</t>
  </si>
  <si>
    <t>REFRIGERACIÓN</t>
  </si>
  <si>
    <t>ELECTRICIDAD (*)</t>
  </si>
  <si>
    <t>12,6</t>
  </si>
  <si>
    <t>5,00</t>
  </si>
  <si>
    <t>11,84</t>
  </si>
  <si>
    <t>9,77</t>
  </si>
  <si>
    <t>2,07</t>
  </si>
  <si>
    <t>ACS</t>
  </si>
  <si>
    <t>17,76</t>
  </si>
  <si>
    <t>19,10</t>
  </si>
  <si>
    <t>21,25</t>
  </si>
  <si>
    <t>1,62</t>
  </si>
  <si>
    <t>19,63</t>
  </si>
  <si>
    <t>VENTILACIÓN</t>
  </si>
  <si>
    <t>ELECTRICIDAD</t>
  </si>
  <si>
    <t>0,37</t>
  </si>
  <si>
    <t>0,88</t>
  </si>
  <si>
    <t>0,72</t>
  </si>
  <si>
    <t>0,15</t>
  </si>
  <si>
    <t>TOTALES</t>
  </si>
  <si>
    <t>99,02</t>
  </si>
  <si>
    <t>117,03</t>
  </si>
  <si>
    <t>19,44</t>
  </si>
  <si>
    <t>97,58</t>
  </si>
  <si>
    <t>(*) Aportación de los sistemas de sustitución en calefacción cubriendo las horas fuera de consigna mediante caldera de gas natural y en refrigeración mediante</t>
  </si>
  <si>
    <t>ventilacion nocturna</t>
  </si>
  <si>
    <t xml:space="preserve">HZ </t>
  </si>
  <si>
    <t>I &gt; 300</t>
  </si>
  <si>
    <t xml:space="preserve">NE </t>
  </si>
  <si>
    <t xml:space="preserve">E </t>
  </si>
  <si>
    <t xml:space="preserve">SE </t>
  </si>
  <si>
    <t xml:space="preserve">S </t>
  </si>
  <si>
    <t xml:space="preserve">SW </t>
  </si>
  <si>
    <t xml:space="preserve">W </t>
  </si>
  <si>
    <t xml:space="preserve">NW </t>
  </si>
  <si>
    <t xml:space="preserve">N </t>
  </si>
  <si>
    <t>horas</t>
  </si>
  <si>
    <t>Dintel</t>
  </si>
  <si>
    <t>ESQUINA_CONCAVA_CERRAMIENTO</t>
  </si>
  <si>
    <t>ESQUINA_CONVEXA_CERRAMIENTO</t>
  </si>
  <si>
    <t>UNION_CUBIERTA</t>
  </si>
  <si>
    <t>ESQUINA_CONVEXA_FORJADO</t>
  </si>
  <si>
    <t>FRENTE_FORJADO</t>
  </si>
  <si>
    <t>UNION_T_CERRAMIENTO</t>
  </si>
  <si>
    <t>PILAR</t>
  </si>
  <si>
    <t>HUECO_VENTANA</t>
  </si>
  <si>
    <t>ESQUINA_CONCAVA_TERRENO</t>
  </si>
  <si>
    <t>ESQUINA_CONVEXA_TERRENO</t>
  </si>
  <si>
    <t>CONTINUO_TERRENO</t>
  </si>
  <si>
    <t>UNION_VERTICAL_ENT_EXT</t>
  </si>
  <si>
    <t>UNION_SOLERA_PAREDEXT</t>
  </si>
  <si>
    <t>MURO-EXT-AISLADO</t>
  </si>
  <si>
    <t>OTROS</t>
  </si>
  <si>
    <t>HUECO_DINTEL</t>
  </si>
  <si>
    <t>HUECO_CAPIALZADO</t>
  </si>
  <si>
    <t>HUECO_JAMBA</t>
  </si>
  <si>
    <t>HUECO_ALFEIZAR</t>
  </si>
  <si>
    <t>Option1</t>
  </si>
  <si>
    <t>Config1</t>
  </si>
  <si>
    <t xml:space="preserve"> </t>
  </si>
  <si>
    <t>duplicado</t>
  </si>
  <si>
    <t>Config2</t>
  </si>
  <si>
    <t>Option3</t>
  </si>
  <si>
    <t>Option2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</si>
</sst>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_(* #,##0_);_(* \(#,##0\);_(* &quot;-&quot;??_);_(@_)"/>
    <numFmt numFmtId="165" formatCode="_(* #,##0.000_);_(* \(#,##0.000\);_(* &quot;-&quot;??_);_(@_)"/>
    <numFmt numFmtId="166" formatCode="0.000"/>
  </numFmts>
  <fonts count="39">
    <font>
      <sz val="11"/>
      <color theme="1"/>
      <name val="Calibri"/>
      <family val="2"/>
      <scheme val="minor"/>
    </font>
    <font>
      <sz val="11"/>
      <color theme="1"/>
      <name val="Calibri"/>
      <family val="2"/>
      <scheme val="minor"/>
    </font>
    <font>
      <sz val="11"/>
      <color rgb="FF9C0006"/>
      <name val="Calibri"/>
      <family val="2"/>
      <scheme val="minor"/>
    </font>
    <font>
      <b/>
      <sz val="11"/>
      <color rgb="FFFA7D00"/>
      <name val="Calibri"/>
      <family val="2"/>
      <scheme val="minor"/>
    </font>
    <font>
      <b/>
      <sz val="11"/>
      <color theme="0"/>
      <name val="Calibri"/>
      <family val="2"/>
      <scheme val="minor"/>
    </font>
    <font>
      <b/>
      <sz val="11"/>
      <color theme="1"/>
      <name val="Calibri"/>
      <family val="2"/>
      <scheme val="minor"/>
    </font>
    <font>
      <sz val="10"/>
      <name val="Times New Roman"/>
      <family val="1"/>
      <charset val="204"/>
    </font>
    <font>
      <sz val="7"/>
      <color indexed="8"/>
      <name val="Arial"/>
      <family val="2"/>
    </font>
    <font>
      <sz val="7"/>
      <color indexed="9"/>
      <name val="Swis721 Lt BT"/>
      <family val="2"/>
    </font>
    <font>
      <b/>
      <sz val="7"/>
      <color indexed="9"/>
      <name val="Symbol"/>
      <family val="1"/>
      <charset val="204"/>
    </font>
    <font>
      <sz val="7"/>
      <color indexed="9"/>
      <name val="Times New Roman"/>
      <family val="1"/>
      <charset val="204"/>
    </font>
    <font>
      <sz val="7"/>
      <color indexed="9"/>
      <name val="Swis721 Lt BT"/>
      <family val="1"/>
      <charset val="204"/>
    </font>
    <font>
      <b/>
      <sz val="8"/>
      <color indexed="9"/>
      <name val="Symbol"/>
      <family val="1"/>
      <charset val="204"/>
    </font>
    <font>
      <sz val="8"/>
      <color indexed="9"/>
      <name val="Times New Roman"/>
      <family val="1"/>
      <charset val="204"/>
    </font>
    <font>
      <sz val="6"/>
      <color indexed="9"/>
      <name val="Swis721 Lt BT"/>
      <family val="1"/>
      <charset val="204"/>
    </font>
    <font>
      <sz val="9"/>
      <color indexed="9"/>
      <name val="Swis721 Lt BT"/>
      <family val="1"/>
      <charset val="204"/>
    </font>
    <font>
      <sz val="7"/>
      <color indexed="8"/>
      <name val="Swis721 Lt BT"/>
      <family val="1"/>
      <charset val="204"/>
    </font>
    <font>
      <sz val="7"/>
      <color indexed="8"/>
      <name val="Swis721 Lt BT"/>
      <family val="2"/>
    </font>
    <font>
      <sz val="7"/>
      <color indexed="9"/>
      <name val="Arial Black"/>
      <family val="2"/>
    </font>
    <font>
      <b/>
      <sz val="7"/>
      <color indexed="9"/>
      <name val="Arial"/>
      <family val="2"/>
    </font>
    <font>
      <b/>
      <sz val="7"/>
      <color indexed="9"/>
      <name val="Arial"/>
      <family val="1"/>
      <charset val="204"/>
    </font>
    <font>
      <b/>
      <sz val="7"/>
      <color indexed="9"/>
      <name val="Calibri"/>
      <family val="1"/>
      <charset val="204"/>
    </font>
    <font>
      <i/>
      <sz val="7"/>
      <color indexed="9"/>
      <name val="Swis721 Lt BT"/>
      <family val="1"/>
      <charset val="204"/>
    </font>
    <font>
      <sz val="9"/>
      <color indexed="8"/>
      <name val="Swis721 Lt BT"/>
      <family val="2"/>
    </font>
    <font>
      <sz val="9"/>
      <color indexed="9"/>
      <name val="Arial Black"/>
      <family val="2"/>
    </font>
    <font>
      <sz val="5"/>
      <color indexed="9"/>
      <name val="Swis721 Lt BT"/>
      <family val="1"/>
      <charset val="204"/>
    </font>
    <font>
      <sz val="8"/>
      <color indexed="8"/>
      <name val="Swis721 Lt BT"/>
      <family val="1"/>
      <charset val="204"/>
    </font>
    <font>
      <sz val="8"/>
      <color indexed="8"/>
      <name val="Swis721 Lt BT"/>
      <family val="2"/>
    </font>
    <font>
      <sz val="8"/>
      <color indexed="9"/>
      <name val="Arial Black"/>
      <family val="2"/>
    </font>
    <font>
      <b/>
      <sz val="8"/>
      <color indexed="9"/>
      <name val="Arial"/>
      <family val="2"/>
    </font>
    <font>
      <sz val="8"/>
      <name val="Calibri"/>
      <family val="2"/>
      <scheme val="minor"/>
    </font>
    <font>
      <sz val="11"/>
      <name val="Calibri"/>
      <family val="2"/>
      <scheme val="minor"/>
    </font>
    <font>
      <sz val="7"/>
      <color indexed="9"/>
      <name val="Maiandra GD"/>
      <family val="2"/>
    </font>
    <font>
      <sz val="6"/>
      <color indexed="9"/>
      <name val="Maiandra GD"/>
      <family val="1"/>
      <charset val="204"/>
    </font>
    <font>
      <sz val="7"/>
      <color indexed="9"/>
      <name val="Maiandra GD"/>
      <family val="1"/>
      <charset val="204"/>
    </font>
    <font>
      <b/>
      <sz val="6"/>
      <color indexed="8"/>
      <name val="Arial"/>
      <family val="2"/>
    </font>
    <font>
      <sz val="6"/>
      <color indexed="8"/>
      <name val="Maiandra GD"/>
      <family val="2"/>
    </font>
    <font>
      <sz val="7"/>
      <color indexed="8"/>
      <name val="Maiandra GD"/>
      <family val="2"/>
    </font>
    <font>
      <sz val="11"/>
      <color rgb="FF006100"/>
      <name val="Calibri"/>
      <family val="2"/>
      <scheme val="minor"/>
    </font>
  </fonts>
  <fills count="19">
    <fill>
      <patternFill patternType="none"/>
    </fill>
    <fill>
      <patternFill patternType="gray125"/>
    </fill>
    <fill>
      <patternFill patternType="solid">
        <fgColor rgb="FFFFC7CE"/>
      </patternFill>
    </fill>
    <fill>
      <patternFill patternType="solid">
        <fgColor rgb="FFF2F2F2"/>
      </patternFill>
    </fill>
    <fill>
      <patternFill patternType="solid">
        <fgColor rgb="FFA5A5A5"/>
      </patternFill>
    </fill>
    <fill>
      <patternFill patternType="solid">
        <fgColor rgb="FF585858"/>
        <bgColor indexed="64"/>
      </patternFill>
    </fill>
    <fill>
      <patternFill patternType="solid">
        <fgColor rgb="FFDDD9C4"/>
        <bgColor indexed="64"/>
      </patternFill>
    </fill>
    <fill>
      <patternFill patternType="solid">
        <fgColor rgb="FFF1DCDB"/>
        <bgColor indexed="64"/>
      </patternFill>
    </fill>
    <fill>
      <patternFill patternType="solid">
        <fgColor rgb="FFDA9593"/>
        <bgColor indexed="64"/>
      </patternFill>
    </fill>
    <fill>
      <patternFill patternType="solid">
        <fgColor rgb="FFC4BC96"/>
        <bgColor indexed="64"/>
      </patternFill>
    </fill>
    <fill>
      <patternFill patternType="solid">
        <fgColor rgb="FF938953"/>
        <bgColor indexed="64"/>
      </patternFill>
    </fill>
    <fill>
      <patternFill patternType="solid">
        <fgColor rgb="FFFFCC99"/>
        <bgColor indexed="64"/>
      </patternFill>
    </fill>
    <fill>
      <patternFill patternType="solid">
        <fgColor rgb="FFC00000"/>
        <bgColor indexed="64"/>
      </patternFill>
    </fill>
    <fill>
      <patternFill patternType="solid">
        <fgColor rgb="FFFFC000"/>
        <bgColor indexed="64"/>
      </patternFill>
    </fill>
    <fill>
      <patternFill patternType="solid">
        <fgColor rgb="FFFF0000"/>
        <bgColor indexed="64"/>
      </patternFill>
    </fill>
    <fill>
      <patternFill patternType="solid">
        <fgColor rgb="FFDAEDF3"/>
        <bgColor indexed="64"/>
      </patternFill>
    </fill>
    <fill>
      <patternFill patternType="solid">
        <fgColor rgb="FFFFFF00"/>
        <bgColor indexed="64"/>
      </patternFill>
    </fill>
    <fill>
      <patternFill patternType="solid">
        <fgColor theme="9" tint="0.79998168889431442"/>
        <bgColor theme="9" tint="0.79998168889431442"/>
      </patternFill>
    </fill>
    <fill>
      <patternFill patternType="solid">
        <fgColor rgb="FFC6EFCE"/>
      </patternFill>
    </fill>
  </fills>
  <borders count="31">
    <border>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style="thin">
        <color rgb="FFFFFFFF"/>
      </right>
      <top style="thin">
        <color rgb="FFFFFFFF"/>
      </top>
      <bottom style="thin">
        <color rgb="FF000000"/>
      </bottom>
      <diagonal/>
    </border>
    <border>
      <left style="thin">
        <color rgb="FFFFFFFF"/>
      </left>
      <right style="thin">
        <color rgb="FFFFFFFF"/>
      </right>
      <top style="thin">
        <color rgb="FFFFFFFF"/>
      </top>
      <bottom style="thin">
        <color rgb="FF000000"/>
      </bottom>
      <diagonal/>
    </border>
    <border>
      <left style="thin">
        <color rgb="FFD9D9D9"/>
      </left>
      <right style="thin">
        <color rgb="FFD9D9D9"/>
      </right>
      <top style="thin">
        <color rgb="FFD9D9D9"/>
      </top>
      <bottom style="thin">
        <color rgb="FFD9D9D9"/>
      </bottom>
      <diagonal/>
    </border>
    <border>
      <left/>
      <right style="thin">
        <color rgb="FFFFFFFF"/>
      </right>
      <top/>
      <bottom style="thin">
        <color rgb="FFD9D9D9"/>
      </bottom>
      <diagonal/>
    </border>
    <border>
      <left/>
      <right/>
      <top/>
      <bottom style="thin">
        <color rgb="FFD9D9D9"/>
      </bottom>
      <diagonal/>
    </border>
    <border>
      <left style="thin">
        <color rgb="FFFFFFFF"/>
      </left>
      <right style="thin">
        <color rgb="FFFFFFFF"/>
      </right>
      <top/>
      <bottom style="thin">
        <color rgb="FFD9D9D9"/>
      </bottom>
      <diagonal/>
    </border>
    <border>
      <left style="thin">
        <color rgb="FFFFFFFF"/>
      </left>
      <right/>
      <top/>
      <bottom style="thin">
        <color rgb="FFD9D9D9"/>
      </bottom>
      <diagonal/>
    </border>
    <border>
      <left style="thin">
        <color rgb="FFD9D9D9"/>
      </left>
      <right/>
      <top style="thin">
        <color rgb="FFD9D9D9"/>
      </top>
      <bottom/>
      <diagonal/>
    </border>
    <border>
      <left/>
      <right/>
      <top style="thin">
        <color rgb="FFD9D9D9"/>
      </top>
      <bottom/>
      <diagonal/>
    </border>
    <border>
      <left style="thin">
        <color rgb="FFD9D9D9"/>
      </left>
      <right/>
      <top style="thin">
        <color rgb="FFD9D9D9"/>
      </top>
      <bottom style="thin">
        <color rgb="FFD9D9D9"/>
      </bottom>
      <diagonal/>
    </border>
    <border>
      <left/>
      <right style="thin">
        <color rgb="FFD9D9D9"/>
      </right>
      <top style="thin">
        <color rgb="FFD9D9D9"/>
      </top>
      <bottom style="thin">
        <color rgb="FFD9D9D9"/>
      </bottom>
      <diagonal/>
    </border>
    <border>
      <left/>
      <right/>
      <top style="thin">
        <color rgb="FFD9D9D9"/>
      </top>
      <bottom style="thin">
        <color rgb="FFD9D9D9"/>
      </bottom>
      <diagonal/>
    </border>
    <border>
      <left/>
      <right style="thin">
        <color rgb="FFD9D9D9"/>
      </right>
      <top style="thin">
        <color rgb="FFD9D9D9"/>
      </top>
      <bottom/>
      <diagonal/>
    </border>
    <border>
      <left/>
      <right/>
      <top/>
      <bottom style="thin">
        <color rgb="FFFFFFFF"/>
      </bottom>
      <diagonal/>
    </border>
    <border>
      <left/>
      <right style="thin">
        <color rgb="FFFFFFFF"/>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
      <left style="thin">
        <color rgb="FFFFFFFF"/>
      </left>
      <right/>
      <top style="thin">
        <color rgb="FFFFFFFF"/>
      </top>
      <bottom style="thin">
        <color rgb="FFFFFFFF"/>
      </bottom>
      <diagonal/>
    </border>
    <border>
      <left/>
      <right style="thin">
        <color rgb="FFFFFFFF"/>
      </right>
      <top style="thin">
        <color rgb="FFFFFFFF"/>
      </top>
      <bottom/>
      <diagonal/>
    </border>
    <border>
      <left style="thin">
        <color rgb="FFFFFFFF"/>
      </left>
      <right style="thin">
        <color rgb="FFFFFFFF"/>
      </right>
      <top style="thin">
        <color rgb="FFFFFFFF"/>
      </top>
      <bottom/>
      <diagonal/>
    </border>
    <border>
      <left style="thin">
        <color rgb="FFFFFFFF"/>
      </left>
      <right/>
      <top style="thin">
        <color rgb="FFFFFFFF"/>
      </top>
      <bottom/>
      <diagonal/>
    </border>
    <border>
      <left style="thin">
        <color rgb="FFFFFFFF"/>
      </left>
      <right/>
      <top/>
      <bottom/>
      <diagonal/>
    </border>
    <border>
      <left/>
      <right style="thin">
        <color theme="9" tint="0.39997558519241921"/>
      </right>
      <top style="thin">
        <color theme="9" tint="0.39997558519241921"/>
      </top>
      <bottom style="thin">
        <color theme="9" tint="0.39997558519241921"/>
      </bottom>
      <diagonal/>
    </border>
    <border>
      <left/>
      <right style="thin">
        <color theme="9" tint="0.39997558519241921"/>
      </right>
      <top/>
      <bottom/>
      <diagonal/>
    </border>
    <border>
      <left/>
      <right style="thin">
        <color rgb="FFFFFFFF"/>
      </right>
      <top/>
      <bottom/>
      <diagonal/>
    </border>
    <border>
      <left style="thin">
        <color rgb="FFFFFFFF"/>
      </left>
      <right style="thin">
        <color rgb="FFFFFFFF"/>
      </right>
      <top/>
      <bottom/>
      <diagonal/>
    </border>
    <border>
      <left/>
      <right style="thin">
        <color rgb="FFFFFFFF"/>
      </right>
      <top/>
      <bottom style="thin">
        <color rgb="FFFFFFFF"/>
      </bottom>
      <diagonal/>
    </border>
    <border>
      <left style="thin">
        <color rgb="FFFFFFFF"/>
      </left>
      <right style="thin">
        <color rgb="FFFFFFFF"/>
      </right>
      <top/>
      <bottom style="thin">
        <color rgb="FFFFFFFF"/>
      </bottom>
      <diagonal/>
    </border>
    <border>
      <left/>
      <right/>
      <top/>
      <bottom style="thin">
        <color indexed="64"/>
      </bottom>
      <diagonal/>
    </border>
  </borders>
  <cellStyleXfs count="6">
    <xf numFmtId="0" fontId="0" fillId="0" borderId="0"/>
    <xf numFmtId="43" fontId="1" fillId="0" borderId="0" applyFont="0" applyFill="0" applyBorder="0" applyAlignment="0" applyProtection="0"/>
    <xf numFmtId="0" fontId="2" fillId="2" borderId="0" applyNumberFormat="0" applyBorder="0" applyAlignment="0" applyProtection="0"/>
    <xf numFmtId="0" fontId="4" fillId="4" borderId="2" applyNumberFormat="0" applyAlignment="0" applyProtection="0"/>
    <xf numFmtId="0" fontId="38" fillId="18" borderId="0" applyNumberFormat="0" applyBorder="0" applyAlignment="0" applyProtection="0"/>
    <xf numFmtId="0" fontId="3" fillId="3" borderId="1" applyNumberFormat="0" applyAlignment="0" applyProtection="0"/>
  </cellStyleXfs>
  <cellXfs count="126">
    <xf numFmtId="0" fontId="0" fillId="0" borderId="0" xfId="0"/>
    <xf numFmtId="0" fontId="8" fillId="5" borderId="3" xfId="0" applyFont="1" applyFill="1" applyBorder="1" applyAlignment="1">
      <alignment horizontal="left" vertical="top" wrapText="1"/>
    </xf>
    <xf numFmtId="0" fontId="8" fillId="5" borderId="4" xfId="0" applyFont="1" applyFill="1" applyBorder="1" applyAlignment="1">
      <alignment horizontal="left" vertical="top" wrapText="1" indent="1"/>
    </xf>
    <xf numFmtId="0" fontId="8" fillId="5" borderId="4" xfId="0" applyFont="1" applyFill="1" applyBorder="1" applyAlignment="1">
      <alignment horizontal="center" vertical="center" wrapText="1"/>
    </xf>
    <xf numFmtId="0" fontId="11" fillId="5" borderId="4" xfId="0" applyFont="1" applyFill="1" applyBorder="1" applyAlignment="1">
      <alignment horizontal="left" vertical="top" wrapText="1"/>
    </xf>
    <xf numFmtId="0" fontId="8" fillId="5" borderId="4" xfId="0" applyFont="1" applyFill="1" applyBorder="1" applyAlignment="1">
      <alignment horizontal="left" vertical="top" wrapText="1"/>
    </xf>
    <xf numFmtId="0" fontId="11" fillId="5" borderId="4" xfId="0" applyFont="1" applyFill="1" applyBorder="1" applyAlignment="1">
      <alignment horizontal="center" vertical="top" wrapText="1"/>
    </xf>
    <xf numFmtId="0" fontId="15" fillId="5" borderId="4" xfId="0" applyFont="1" applyFill="1" applyBorder="1" applyAlignment="1">
      <alignment horizontal="center" vertical="top" wrapText="1"/>
    </xf>
    <xf numFmtId="0" fontId="6" fillId="0" borderId="0" xfId="0" applyFont="1" applyAlignment="1">
      <alignment horizontal="left" vertical="top" wrapText="1"/>
    </xf>
    <xf numFmtId="0" fontId="6" fillId="0" borderId="0" xfId="0" applyFont="1" applyAlignment="1">
      <alignment horizontal="left" wrapText="1"/>
    </xf>
    <xf numFmtId="0" fontId="17" fillId="7" borderId="5" xfId="0" applyFont="1" applyFill="1" applyBorder="1" applyAlignment="1">
      <alignment horizontal="center" vertical="top" wrapText="1"/>
    </xf>
    <xf numFmtId="1" fontId="7" fillId="7" borderId="5" xfId="0" applyNumberFormat="1" applyFont="1" applyFill="1" applyBorder="1" applyAlignment="1">
      <alignment horizontal="center" vertical="top" shrinkToFit="1"/>
    </xf>
    <xf numFmtId="0" fontId="6" fillId="7" borderId="5" xfId="0" applyFont="1" applyFill="1" applyBorder="1" applyAlignment="1">
      <alignment horizontal="left" vertical="center" wrapText="1"/>
    </xf>
    <xf numFmtId="0" fontId="17" fillId="8" borderId="5" xfId="0" applyFont="1" applyFill="1" applyBorder="1" applyAlignment="1">
      <alignment horizontal="center" vertical="top" wrapText="1"/>
    </xf>
    <xf numFmtId="0" fontId="6" fillId="7" borderId="5" xfId="0" applyFont="1" applyFill="1" applyBorder="1" applyAlignment="1">
      <alignment horizontal="left" wrapText="1"/>
    </xf>
    <xf numFmtId="0" fontId="6" fillId="0" borderId="5" xfId="0" applyFont="1" applyBorder="1" applyAlignment="1">
      <alignment horizontal="left" vertical="center" wrapText="1"/>
    </xf>
    <xf numFmtId="0" fontId="17" fillId="0" borderId="5" xfId="0" applyFont="1" applyBorder="1" applyAlignment="1">
      <alignment horizontal="center" vertical="top" wrapText="1"/>
    </xf>
    <xf numFmtId="1" fontId="7" fillId="0" borderId="5" xfId="0" applyNumberFormat="1" applyFont="1" applyBorder="1" applyAlignment="1">
      <alignment horizontal="center" vertical="top" shrinkToFit="1"/>
    </xf>
    <xf numFmtId="0" fontId="6" fillId="6" borderId="0" xfId="0" applyFont="1" applyFill="1" applyAlignment="1">
      <alignment horizontal="left" wrapText="1"/>
    </xf>
    <xf numFmtId="0" fontId="17" fillId="9" borderId="0" xfId="0" applyFont="1" applyFill="1" applyAlignment="1">
      <alignment horizontal="center" vertical="top" wrapText="1"/>
    </xf>
    <xf numFmtId="0" fontId="6" fillId="9" borderId="0" xfId="0" applyFont="1" applyFill="1" applyAlignment="1">
      <alignment horizontal="left" wrapText="1"/>
    </xf>
    <xf numFmtId="0" fontId="19" fillId="10" borderId="0" xfId="0" applyFont="1" applyFill="1" applyAlignment="1">
      <alignment horizontal="center" vertical="top" wrapText="1"/>
    </xf>
    <xf numFmtId="0" fontId="18" fillId="10" borderId="0" xfId="0" applyFont="1" applyFill="1" applyAlignment="1">
      <alignment horizontal="center" vertical="top" wrapText="1"/>
    </xf>
    <xf numFmtId="0" fontId="20" fillId="5" borderId="8" xfId="0" applyFont="1" applyFill="1" applyBorder="1" applyAlignment="1">
      <alignment horizontal="center" vertical="top" wrapText="1"/>
    </xf>
    <xf numFmtId="0" fontId="8" fillId="5" borderId="8" xfId="0" applyFont="1" applyFill="1" applyBorder="1" applyAlignment="1">
      <alignment horizontal="left" vertical="top" wrapText="1"/>
    </xf>
    <xf numFmtId="0" fontId="21" fillId="5" borderId="9" xfId="0" applyFont="1" applyFill="1" applyBorder="1" applyAlignment="1">
      <alignment horizontal="left" vertical="top" wrapText="1" indent="1"/>
    </xf>
    <xf numFmtId="0" fontId="6" fillId="0" borderId="5" xfId="0" applyFont="1" applyBorder="1" applyAlignment="1">
      <alignment horizontal="left" wrapText="1"/>
    </xf>
    <xf numFmtId="0" fontId="6" fillId="0" borderId="0" xfId="0" applyFont="1" applyAlignment="1">
      <alignment horizontal="left" vertical="center" wrapText="1"/>
    </xf>
    <xf numFmtId="0" fontId="19" fillId="12" borderId="16" xfId="0" applyFont="1" applyFill="1" applyBorder="1" applyAlignment="1">
      <alignment horizontal="center" vertical="top" wrapText="1"/>
    </xf>
    <xf numFmtId="0" fontId="11" fillId="5" borderId="17" xfId="0" applyFont="1" applyFill="1" applyBorder="1" applyAlignment="1">
      <alignment horizontal="center" vertical="top" wrapText="1"/>
    </xf>
    <xf numFmtId="0" fontId="15" fillId="5" borderId="18" xfId="0" applyFont="1" applyFill="1" applyBorder="1" applyAlignment="1">
      <alignment horizontal="center" vertical="top" wrapText="1"/>
    </xf>
    <xf numFmtId="0" fontId="11" fillId="5" borderId="19" xfId="0" applyFont="1" applyFill="1" applyBorder="1" applyAlignment="1">
      <alignment horizontal="left" vertical="top" wrapText="1" indent="2"/>
    </xf>
    <xf numFmtId="0" fontId="23" fillId="0" borderId="20" xfId="0" applyFont="1" applyBorder="1" applyAlignment="1">
      <alignment horizontal="center" vertical="top" wrapText="1"/>
    </xf>
    <xf numFmtId="0" fontId="23" fillId="13" borderId="21" xfId="0" applyFont="1" applyFill="1" applyBorder="1" applyAlignment="1">
      <alignment horizontal="center" vertical="top" wrapText="1"/>
    </xf>
    <xf numFmtId="0" fontId="24" fillId="14" borderId="22" xfId="0" applyFont="1" applyFill="1" applyBorder="1" applyAlignment="1">
      <alignment horizontal="left" vertical="top" wrapText="1" indent="1"/>
    </xf>
    <xf numFmtId="0" fontId="19" fillId="10" borderId="0" xfId="0" applyFont="1" applyFill="1" applyAlignment="1">
      <alignment vertical="top" wrapText="1"/>
    </xf>
    <xf numFmtId="0" fontId="11" fillId="5" borderId="3" xfId="0" applyFont="1" applyFill="1" applyBorder="1" applyAlignment="1">
      <alignment horizontal="left" vertical="top" wrapText="1"/>
    </xf>
    <xf numFmtId="0" fontId="8" fillId="5" borderId="4" xfId="0" applyFont="1" applyFill="1" applyBorder="1" applyAlignment="1">
      <alignment horizontal="center" vertical="top" wrapText="1"/>
    </xf>
    <xf numFmtId="0" fontId="11" fillId="5" borderId="23" xfId="0" applyFont="1" applyFill="1" applyBorder="1" applyAlignment="1">
      <alignment horizontal="left" vertical="top" wrapText="1"/>
    </xf>
    <xf numFmtId="0" fontId="27" fillId="9" borderId="0" xfId="0" applyFont="1" applyFill="1" applyAlignment="1">
      <alignment horizontal="center" vertical="top" wrapText="1"/>
    </xf>
    <xf numFmtId="0" fontId="17" fillId="15" borderId="5" xfId="0" applyFont="1" applyFill="1" applyBorder="1" applyAlignment="1">
      <alignment horizontal="center" vertical="top" wrapText="1"/>
    </xf>
    <xf numFmtId="0" fontId="27" fillId="15" borderId="5" xfId="0" applyFont="1" applyFill="1" applyBorder="1" applyAlignment="1">
      <alignment horizontal="center" vertical="top" wrapText="1"/>
    </xf>
    <xf numFmtId="0" fontId="29" fillId="10" borderId="0" xfId="0" applyFont="1" applyFill="1" applyAlignment="1">
      <alignment horizontal="center" vertical="top" wrapText="1"/>
    </xf>
    <xf numFmtId="0" fontId="2" fillId="2" borderId="0" xfId="2" applyAlignment="1">
      <alignment horizontal="left" wrapText="1"/>
    </xf>
    <xf numFmtId="0" fontId="2" fillId="2" borderId="0" xfId="2"/>
    <xf numFmtId="164" fontId="0" fillId="0" borderId="0" xfId="1" applyNumberFormat="1" applyFont="1"/>
    <xf numFmtId="164" fontId="5" fillId="0" borderId="0" xfId="1" applyNumberFormat="1" applyFont="1"/>
    <xf numFmtId="0" fontId="4" fillId="4" borderId="2" xfId="3"/>
    <xf numFmtId="165" fontId="0" fillId="0" borderId="0" xfId="1" applyNumberFormat="1" applyFont="1"/>
    <xf numFmtId="165" fontId="3" fillId="3" borderId="1" xfId="1" applyNumberFormat="1" applyFont="1" applyFill="1" applyBorder="1"/>
    <xf numFmtId="0" fontId="6" fillId="0" borderId="0" xfId="0" applyFont="1" applyAlignment="1">
      <alignment horizontal="left"/>
    </xf>
    <xf numFmtId="0" fontId="8" fillId="5" borderId="4" xfId="0" applyFont="1" applyFill="1" applyBorder="1" applyAlignment="1">
      <alignment horizontal="left" vertical="top"/>
    </xf>
    <xf numFmtId="0" fontId="27" fillId="15" borderId="5" xfId="0" applyFont="1" applyFill="1" applyBorder="1" applyAlignment="1">
      <alignment horizontal="left" vertical="top"/>
    </xf>
    <xf numFmtId="0" fontId="0" fillId="0" borderId="0" xfId="0" applyAlignment="1">
      <alignment horizontal="left"/>
    </xf>
    <xf numFmtId="0" fontId="0" fillId="0" borderId="0" xfId="0" applyAlignment="1">
      <alignment textRotation="90" wrapText="1"/>
    </xf>
    <xf numFmtId="165" fontId="5" fillId="0" borderId="0" xfId="1" applyNumberFormat="1" applyFont="1" applyAlignment="1">
      <alignment wrapText="1"/>
    </xf>
    <xf numFmtId="0" fontId="0" fillId="16" borderId="0" xfId="0" applyFill="1"/>
    <xf numFmtId="0" fontId="0" fillId="0" borderId="0" xfId="0" applyAlignment="1">
      <alignment horizontal="right"/>
    </xf>
    <xf numFmtId="43" fontId="0" fillId="0" borderId="0" xfId="1" applyFont="1"/>
    <xf numFmtId="2" fontId="0" fillId="0" borderId="0" xfId="0" applyNumberFormat="1" applyAlignment="1">
      <alignment horizontal="right"/>
    </xf>
    <xf numFmtId="2" fontId="0" fillId="16" borderId="0" xfId="0" applyNumberFormat="1" applyFill="1" applyAlignment="1">
      <alignment horizontal="right"/>
    </xf>
    <xf numFmtId="2" fontId="0" fillId="0" borderId="0" xfId="0" applyNumberFormat="1"/>
    <xf numFmtId="0" fontId="31" fillId="0" borderId="0" xfId="0" applyFont="1"/>
    <xf numFmtId="0" fontId="31" fillId="16" borderId="0" xfId="0" applyFont="1" applyFill="1"/>
    <xf numFmtId="0" fontId="0" fillId="13" borderId="0" xfId="0" applyFill="1"/>
    <xf numFmtId="0" fontId="31" fillId="0" borderId="0" xfId="0" applyFont="1" applyAlignment="1">
      <alignment wrapText="1"/>
    </xf>
    <xf numFmtId="43" fontId="31" fillId="0" borderId="0" xfId="1" applyFont="1" applyAlignment="1">
      <alignment wrapText="1"/>
    </xf>
    <xf numFmtId="43" fontId="4" fillId="4" borderId="2" xfId="3" applyNumberFormat="1"/>
    <xf numFmtId="166" fontId="4" fillId="4" borderId="2" xfId="3" applyNumberFormat="1"/>
    <xf numFmtId="43" fontId="0" fillId="17" borderId="24" xfId="1" applyFont="1" applyFill="1" applyBorder="1"/>
    <xf numFmtId="43" fontId="0" fillId="17" borderId="25" xfId="1" applyFont="1" applyFill="1" applyBorder="1"/>
    <xf numFmtId="0" fontId="32" fillId="5" borderId="26" xfId="0" applyFont="1" applyFill="1" applyBorder="1" applyAlignment="1">
      <alignment horizontal="center" vertical="top" wrapText="1"/>
    </xf>
    <xf numFmtId="0" fontId="33" fillId="5" borderId="27" xfId="0" applyFont="1" applyFill="1" applyBorder="1" applyAlignment="1">
      <alignment horizontal="center" vertical="top" wrapText="1"/>
    </xf>
    <xf numFmtId="0" fontId="34" fillId="5" borderId="27" xfId="0" applyFont="1" applyFill="1" applyBorder="1" applyAlignment="1">
      <alignment horizontal="center" vertical="top" wrapText="1"/>
    </xf>
    <xf numFmtId="0" fontId="34" fillId="5" borderId="27" xfId="0" applyFont="1" applyFill="1" applyBorder="1" applyAlignment="1">
      <alignment horizontal="left" vertical="top" wrapText="1"/>
    </xf>
    <xf numFmtId="0" fontId="32" fillId="5" borderId="27" xfId="0" applyFont="1" applyFill="1" applyBorder="1" applyAlignment="1">
      <alignment horizontal="center" vertical="top" wrapText="1"/>
    </xf>
    <xf numFmtId="0" fontId="36" fillId="6" borderId="18" xfId="0" applyFont="1" applyFill="1" applyBorder="1" applyAlignment="1">
      <alignment horizontal="center" vertical="top" wrapText="1"/>
    </xf>
    <xf numFmtId="0" fontId="37" fillId="6" borderId="18" xfId="0" applyFont="1" applyFill="1" applyBorder="1" applyAlignment="1">
      <alignment horizontal="center" vertical="top" wrapText="1"/>
    </xf>
    <xf numFmtId="3" fontId="7" fillId="6" borderId="18" xfId="0" applyNumberFormat="1" applyFont="1" applyFill="1" applyBorder="1" applyAlignment="1">
      <alignment horizontal="center" vertical="top" shrinkToFit="1"/>
    </xf>
    <xf numFmtId="0" fontId="35" fillId="9" borderId="0" xfId="0" applyFont="1" applyFill="1" applyAlignment="1">
      <alignment horizontal="center" vertical="top" wrapText="1"/>
    </xf>
    <xf numFmtId="0" fontId="36" fillId="6" borderId="26" xfId="0" applyFont="1" applyFill="1" applyBorder="1" applyAlignment="1">
      <alignment horizontal="center" vertical="top" wrapText="1"/>
    </xf>
    <xf numFmtId="0" fontId="37" fillId="6" borderId="27" xfId="0" applyFont="1" applyFill="1" applyBorder="1" applyAlignment="1">
      <alignment horizontal="center" vertical="top" wrapText="1"/>
    </xf>
    <xf numFmtId="3" fontId="7" fillId="6" borderId="27" xfId="0" applyNumberFormat="1" applyFont="1" applyFill="1" applyBorder="1" applyAlignment="1">
      <alignment horizontal="center" vertical="top" shrinkToFit="1"/>
    </xf>
    <xf numFmtId="0" fontId="6" fillId="10" borderId="27" xfId="0" applyFont="1" applyFill="1" applyBorder="1" applyAlignment="1">
      <alignment horizontal="left" wrapText="1"/>
    </xf>
    <xf numFmtId="0" fontId="19" fillId="10" borderId="27" xfId="0" applyFont="1" applyFill="1" applyBorder="1" applyAlignment="1">
      <alignment horizontal="center" vertical="top" wrapText="1"/>
    </xf>
    <xf numFmtId="0" fontId="19" fillId="10" borderId="23" xfId="0" applyFont="1" applyFill="1" applyBorder="1" applyAlignment="1">
      <alignment horizontal="center" vertical="top" wrapText="1"/>
    </xf>
    <xf numFmtId="0" fontId="0" fillId="0" borderId="30" xfId="0" applyBorder="1"/>
    <xf numFmtId="0" fontId="5" fillId="0" borderId="0" xfId="0" applyFont="1"/>
    <xf numFmtId="0" fontId="5" fillId="0" borderId="0" xfId="0" applyFont="1" applyAlignment="1">
      <alignment horizontal="left"/>
    </xf>
    <xf numFmtId="165" fontId="5" fillId="0" borderId="0" xfId="1" applyNumberFormat="1" applyFont="1"/>
    <xf numFmtId="0" fontId="17" fillId="0" borderId="0" xfId="0" applyFont="1" applyAlignment="1">
      <alignment horizontal="left" vertical="top" wrapText="1"/>
    </xf>
    <xf numFmtId="0" fontId="16" fillId="0" borderId="12" xfId="0" applyFont="1" applyBorder="1" applyAlignment="1">
      <alignment horizontal="left" vertical="top" wrapText="1"/>
    </xf>
    <xf numFmtId="0" fontId="16" fillId="0" borderId="14" xfId="0" applyFont="1" applyBorder="1" applyAlignment="1">
      <alignment horizontal="left" vertical="top" wrapText="1"/>
    </xf>
    <xf numFmtId="0" fontId="16" fillId="0" borderId="13" xfId="0" applyFont="1" applyBorder="1" applyAlignment="1">
      <alignment horizontal="left" vertical="top" wrapText="1"/>
    </xf>
    <xf numFmtId="0" fontId="17" fillId="0" borderId="10" xfId="0" applyFont="1" applyBorder="1" applyAlignment="1">
      <alignment horizontal="left" vertical="top" wrapText="1"/>
    </xf>
    <xf numFmtId="0" fontId="17" fillId="0" borderId="11" xfId="0" applyFont="1" applyBorder="1" applyAlignment="1">
      <alignment horizontal="left" vertical="top" wrapText="1"/>
    </xf>
    <xf numFmtId="0" fontId="17" fillId="0" borderId="15" xfId="0" applyFont="1" applyBorder="1" applyAlignment="1">
      <alignment horizontal="left" vertical="top" wrapText="1"/>
    </xf>
    <xf numFmtId="0" fontId="19" fillId="12" borderId="16" xfId="0" applyFont="1" applyFill="1" applyBorder="1" applyAlignment="1">
      <alignment horizontal="left" vertical="top" wrapText="1"/>
    </xf>
    <xf numFmtId="0" fontId="17" fillId="7" borderId="12" xfId="0" applyFont="1" applyFill="1" applyBorder="1" applyAlignment="1">
      <alignment horizontal="left" vertical="top" wrapText="1"/>
    </xf>
    <xf numFmtId="0" fontId="17" fillId="7" borderId="13" xfId="0" applyFont="1" applyFill="1" applyBorder="1" applyAlignment="1">
      <alignment horizontal="left" vertical="top" wrapText="1"/>
    </xf>
    <xf numFmtId="0" fontId="17" fillId="0" borderId="12" xfId="0" applyFont="1" applyBorder="1" applyAlignment="1">
      <alignment horizontal="left" vertical="top" wrapText="1"/>
    </xf>
    <xf numFmtId="0" fontId="17" fillId="0" borderId="13" xfId="0" applyFont="1" applyBorder="1" applyAlignment="1">
      <alignment horizontal="left" vertical="top" wrapText="1"/>
    </xf>
    <xf numFmtId="0" fontId="18" fillId="9" borderId="0" xfId="0" applyFont="1" applyFill="1" applyAlignment="1">
      <alignment horizontal="left" vertical="top" wrapText="1"/>
    </xf>
    <xf numFmtId="0" fontId="16" fillId="0" borderId="0" xfId="0" applyFont="1" applyAlignment="1">
      <alignment horizontal="left" wrapText="1"/>
    </xf>
    <xf numFmtId="0" fontId="17" fillId="6" borderId="0" xfId="0" applyFont="1" applyFill="1" applyAlignment="1">
      <alignment horizontal="left" vertical="top" wrapText="1"/>
    </xf>
    <xf numFmtId="0" fontId="6" fillId="0" borderId="0" xfId="0" applyFont="1" applyAlignment="1">
      <alignment horizontal="left" wrapText="1"/>
    </xf>
    <xf numFmtId="0" fontId="17" fillId="11" borderId="0" xfId="0" applyFont="1" applyFill="1" applyAlignment="1">
      <alignment horizontal="left" vertical="top" wrapText="1" indent="5"/>
    </xf>
    <xf numFmtId="0" fontId="8" fillId="5" borderId="7" xfId="0" applyFont="1" applyFill="1" applyBorder="1" applyAlignment="1">
      <alignment horizontal="left" vertical="top" wrapText="1" indent="3"/>
    </xf>
    <xf numFmtId="0" fontId="8" fillId="5" borderId="6" xfId="0" applyFont="1" applyFill="1" applyBorder="1" applyAlignment="1">
      <alignment horizontal="left" vertical="top" wrapText="1" indent="3"/>
    </xf>
    <xf numFmtId="0" fontId="17" fillId="0" borderId="0" xfId="0" applyFont="1" applyAlignment="1">
      <alignment horizontal="left" vertical="center" wrapText="1"/>
    </xf>
    <xf numFmtId="0" fontId="16" fillId="0" borderId="0" xfId="0" applyFont="1" applyAlignment="1">
      <alignment horizontal="left" vertical="top" wrapText="1"/>
    </xf>
    <xf numFmtId="0" fontId="17" fillId="9" borderId="0" xfId="0" applyFont="1" applyFill="1" applyAlignment="1">
      <alignment horizontal="left" vertical="top" wrapText="1" indent="1"/>
    </xf>
    <xf numFmtId="0" fontId="28" fillId="9" borderId="0" xfId="0" applyFont="1" applyFill="1" applyAlignment="1">
      <alignment horizontal="left" vertical="top" wrapText="1"/>
    </xf>
    <xf numFmtId="0" fontId="26" fillId="0" borderId="0" xfId="0" applyFont="1" applyAlignment="1">
      <alignment horizontal="left" vertical="top" wrapText="1"/>
    </xf>
    <xf numFmtId="0" fontId="27" fillId="6" borderId="0" xfId="0" applyFont="1" applyFill="1" applyAlignment="1">
      <alignment horizontal="left" vertical="top" wrapText="1"/>
    </xf>
    <xf numFmtId="0" fontId="27" fillId="0" borderId="0" xfId="0" applyFont="1" applyAlignment="1">
      <alignment horizontal="left" vertical="center" wrapText="1"/>
    </xf>
    <xf numFmtId="0" fontId="27" fillId="0" borderId="0" xfId="0" applyFont="1" applyAlignment="1">
      <alignment horizontal="left" vertical="top" wrapText="1"/>
    </xf>
    <xf numFmtId="0" fontId="35" fillId="9" borderId="20" xfId="0" applyFont="1" applyFill="1" applyBorder="1" applyAlignment="1">
      <alignment horizontal="left" vertical="top" wrapText="1" indent="1"/>
    </xf>
    <xf numFmtId="0" fontId="35" fillId="9" borderId="28" xfId="0" applyFont="1" applyFill="1" applyBorder="1" applyAlignment="1">
      <alignment horizontal="left" vertical="top" wrapText="1" indent="1"/>
    </xf>
    <xf numFmtId="0" fontId="37" fillId="6" borderId="21" xfId="0" applyFont="1" applyFill="1" applyBorder="1" applyAlignment="1">
      <alignment horizontal="left" vertical="top" wrapText="1" indent="2"/>
    </xf>
    <xf numFmtId="0" fontId="37" fillId="6" borderId="29" xfId="0" applyFont="1" applyFill="1" applyBorder="1" applyAlignment="1">
      <alignment horizontal="left" vertical="top" wrapText="1" indent="2"/>
    </xf>
    <xf numFmtId="0" fontId="19" fillId="10" borderId="26" xfId="0" applyFont="1" applyFill="1" applyBorder="1" applyAlignment="1">
      <alignment horizontal="center" vertical="top" wrapText="1"/>
    </xf>
    <xf numFmtId="0" fontId="37" fillId="0" borderId="0" xfId="0" applyFont="1" applyAlignment="1">
      <alignment horizontal="left" vertical="top" wrapText="1"/>
    </xf>
    <xf numFmtId="0" fontId="3" fillId="3" borderId="1" xfId="5"/>
    <xf numFmtId="0" fontId="38" fillId="18" borderId="1" xfId="4" applyBorder="1"/>
    <xf numFmtId="0" fontId="38" fillId="18" borderId="0" xfId="4"/>
  </cellXfs>
  <cellStyles count="6">
    <cellStyle name="Bad" xfId="2" builtinId="27"/>
    <cellStyle name="Calculation" xfId="5" builtinId="22"/>
    <cellStyle name="Check Cell" xfId="3" builtinId="23"/>
    <cellStyle name="Comma" xfId="1" builtinId="3"/>
    <cellStyle name="Good" xfId="4" builtinId="26"/>
    <cellStyle name="Normal" xfId="0" builtinId="0"/>
  </cellStyles>
  <dxfs count="10">
    <dxf>
      <numFmt numFmtId="0" formatCode="General"/>
    </dxf>
    <dxf>
      <border outline="0">
        <left style="double">
          <color rgb="FF3F3F3F"/>
        </left>
      </border>
    </dxf>
    <dxf>
      <numFmt numFmtId="166" formatCode="0.000"/>
    </dxf>
    <dxf>
      <border outline="0">
        <right style="double">
          <color rgb="FF3F3F3F"/>
        </right>
      </border>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numFmt numFmtId="0" formatCode="General"/>
    </dxf>
    <dxf>
      <font>
        <strike val="0"/>
        <outline val="0"/>
        <shadow val="0"/>
        <u val="none"/>
        <vertAlign val="baseline"/>
        <sz val="11"/>
        <color auto="1"/>
        <name val="Calibri"/>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4" Type="http://schemas.openxmlformats.org/officeDocument/2006/relationships/image" Target="../media/image5.png"/></Relationships>
</file>

<file path=xl/drawings/_rels/drawing3.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image" Target="../media/image7.emf"/><Relationship Id="rId1" Type="http://schemas.openxmlformats.org/officeDocument/2006/relationships/image" Target="../media/image6.png"/></Relationships>
</file>

<file path=xl/drawings/_rels/drawing4.xml.rels><?xml version="1.0" encoding="UTF-8" standalone="yes"?>
<Relationships xmlns="http://schemas.openxmlformats.org/package/2006/relationships"><Relationship Id="rId2" Type="http://schemas.openxmlformats.org/officeDocument/2006/relationships/image" Target="../media/image10.png"/><Relationship Id="rId1" Type="http://schemas.openxmlformats.org/officeDocument/2006/relationships/image" Target="../media/image9.emf"/></Relationships>
</file>

<file path=xl/drawings/_rels/drawing5.xml.rels><?xml version="1.0" encoding="UTF-8" standalone="yes"?>
<Relationships xmlns="http://schemas.openxmlformats.org/package/2006/relationships"><Relationship Id="rId3" Type="http://schemas.openxmlformats.org/officeDocument/2006/relationships/image" Target="../media/image13.png"/><Relationship Id="rId7" Type="http://schemas.openxmlformats.org/officeDocument/2006/relationships/image" Target="../media/image17.png"/><Relationship Id="rId2" Type="http://schemas.openxmlformats.org/officeDocument/2006/relationships/image" Target="../media/image12.png"/><Relationship Id="rId1" Type="http://schemas.openxmlformats.org/officeDocument/2006/relationships/image" Target="../media/image11.png"/><Relationship Id="rId6" Type="http://schemas.openxmlformats.org/officeDocument/2006/relationships/image" Target="../media/image16.png"/><Relationship Id="rId5" Type="http://schemas.openxmlformats.org/officeDocument/2006/relationships/image" Target="../media/image15.png"/><Relationship Id="rId4" Type="http://schemas.openxmlformats.org/officeDocument/2006/relationships/image" Target="../media/image14.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9</xdr:col>
      <xdr:colOff>391260</xdr:colOff>
      <xdr:row>13</xdr:row>
      <xdr:rowOff>165406</xdr:rowOff>
    </xdr:to>
    <xdr:pic>
      <xdr:nvPicPr>
        <xdr:cNvPr id="2" name="Picture 1">
          <a:extLst>
            <a:ext uri="{FF2B5EF4-FFF2-40B4-BE49-F238E27FC236}">
              <a16:creationId xmlns:a16="http://schemas.microsoft.com/office/drawing/2014/main" id="{6CA993CC-D9AE-09AC-FE16-45A29B700D5B}"/>
            </a:ext>
          </a:extLst>
        </xdr:cNvPr>
        <xdr:cNvPicPr>
          <a:picLocks noChangeAspect="1"/>
        </xdr:cNvPicPr>
      </xdr:nvPicPr>
      <xdr:blipFill>
        <a:blip xmlns:r="http://schemas.openxmlformats.org/officeDocument/2006/relationships" r:embed="rId1"/>
        <a:stretch>
          <a:fillRect/>
        </a:stretch>
      </xdr:blipFill>
      <xdr:spPr>
        <a:xfrm>
          <a:off x="609600" y="368300"/>
          <a:ext cx="5268060" cy="219105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12</xdr:col>
      <xdr:colOff>0</xdr:colOff>
      <xdr:row>2</xdr:row>
      <xdr:rowOff>0</xdr:rowOff>
    </xdr:from>
    <xdr:to>
      <xdr:col>31</xdr:col>
      <xdr:colOff>449354</xdr:colOff>
      <xdr:row>15</xdr:row>
      <xdr:rowOff>137511</xdr:rowOff>
    </xdr:to>
    <xdr:pic>
      <xdr:nvPicPr>
        <xdr:cNvPr id="2" name="Picture 1">
          <a:extLst>
            <a:ext uri="{FF2B5EF4-FFF2-40B4-BE49-F238E27FC236}">
              <a16:creationId xmlns:a16="http://schemas.microsoft.com/office/drawing/2014/main" id="{46042588-A82E-885D-D736-3007AB571F5B}"/>
            </a:ext>
          </a:extLst>
        </xdr:cNvPr>
        <xdr:cNvPicPr>
          <a:picLocks noChangeAspect="1"/>
        </xdr:cNvPicPr>
      </xdr:nvPicPr>
      <xdr:blipFill>
        <a:blip xmlns:r="http://schemas.openxmlformats.org/officeDocument/2006/relationships" r:embed="rId1"/>
        <a:stretch>
          <a:fillRect/>
        </a:stretch>
      </xdr:blipFill>
      <xdr:spPr>
        <a:xfrm>
          <a:off x="7315200" y="792480"/>
          <a:ext cx="12031754" cy="2514951"/>
        </a:xfrm>
        <a:prstGeom prst="rect">
          <a:avLst/>
        </a:prstGeom>
      </xdr:spPr>
    </xdr:pic>
    <xdr:clientData/>
  </xdr:twoCellAnchor>
  <xdr:twoCellAnchor editAs="oneCell">
    <xdr:from>
      <xdr:col>12</xdr:col>
      <xdr:colOff>0</xdr:colOff>
      <xdr:row>18</xdr:row>
      <xdr:rowOff>0</xdr:rowOff>
    </xdr:from>
    <xdr:to>
      <xdr:col>27</xdr:col>
      <xdr:colOff>344224</xdr:colOff>
      <xdr:row>31</xdr:row>
      <xdr:rowOff>108932</xdr:rowOff>
    </xdr:to>
    <xdr:pic>
      <xdr:nvPicPr>
        <xdr:cNvPr id="3" name="Picture 2">
          <a:extLst>
            <a:ext uri="{FF2B5EF4-FFF2-40B4-BE49-F238E27FC236}">
              <a16:creationId xmlns:a16="http://schemas.microsoft.com/office/drawing/2014/main" id="{1A3BEFCD-3202-A637-0805-FC5C16D2AFEF}"/>
            </a:ext>
          </a:extLst>
        </xdr:cNvPr>
        <xdr:cNvPicPr>
          <a:picLocks noChangeAspect="1"/>
        </xdr:cNvPicPr>
      </xdr:nvPicPr>
      <xdr:blipFill>
        <a:blip xmlns:r="http://schemas.openxmlformats.org/officeDocument/2006/relationships" r:embed="rId2"/>
        <a:stretch>
          <a:fillRect/>
        </a:stretch>
      </xdr:blipFill>
      <xdr:spPr>
        <a:xfrm>
          <a:off x="7315200" y="3718560"/>
          <a:ext cx="9488224" cy="2486372"/>
        </a:xfrm>
        <a:prstGeom prst="rect">
          <a:avLst/>
        </a:prstGeom>
      </xdr:spPr>
    </xdr:pic>
    <xdr:clientData/>
  </xdr:twoCellAnchor>
  <xdr:twoCellAnchor editAs="oneCell">
    <xdr:from>
      <xdr:col>12</xdr:col>
      <xdr:colOff>0</xdr:colOff>
      <xdr:row>36</xdr:row>
      <xdr:rowOff>0</xdr:rowOff>
    </xdr:from>
    <xdr:to>
      <xdr:col>19</xdr:col>
      <xdr:colOff>572175</xdr:colOff>
      <xdr:row>45</xdr:row>
      <xdr:rowOff>114571</xdr:rowOff>
    </xdr:to>
    <xdr:pic>
      <xdr:nvPicPr>
        <xdr:cNvPr id="4" name="Picture 3">
          <a:extLst>
            <a:ext uri="{FF2B5EF4-FFF2-40B4-BE49-F238E27FC236}">
              <a16:creationId xmlns:a16="http://schemas.microsoft.com/office/drawing/2014/main" id="{37C91644-7D18-F30D-3F9F-921F92F37AAB}"/>
            </a:ext>
          </a:extLst>
        </xdr:cNvPr>
        <xdr:cNvPicPr>
          <a:picLocks noChangeAspect="1"/>
        </xdr:cNvPicPr>
      </xdr:nvPicPr>
      <xdr:blipFill>
        <a:blip xmlns:r="http://schemas.openxmlformats.org/officeDocument/2006/relationships" r:embed="rId3"/>
        <a:stretch>
          <a:fillRect/>
        </a:stretch>
      </xdr:blipFill>
      <xdr:spPr>
        <a:xfrm>
          <a:off x="7315200" y="7010400"/>
          <a:ext cx="4839375" cy="1943371"/>
        </a:xfrm>
        <a:prstGeom prst="rect">
          <a:avLst/>
        </a:prstGeom>
      </xdr:spPr>
    </xdr:pic>
    <xdr:clientData/>
  </xdr:twoCellAnchor>
  <xdr:twoCellAnchor editAs="oneCell">
    <xdr:from>
      <xdr:col>12</xdr:col>
      <xdr:colOff>45720</xdr:colOff>
      <xdr:row>63</xdr:row>
      <xdr:rowOff>22860</xdr:rowOff>
    </xdr:from>
    <xdr:to>
      <xdr:col>24</xdr:col>
      <xdr:colOff>132478</xdr:colOff>
      <xdr:row>65</xdr:row>
      <xdr:rowOff>104880</xdr:rowOff>
    </xdr:to>
    <xdr:pic>
      <xdr:nvPicPr>
        <xdr:cNvPr id="5" name="Picture 4">
          <a:extLst>
            <a:ext uri="{FF2B5EF4-FFF2-40B4-BE49-F238E27FC236}">
              <a16:creationId xmlns:a16="http://schemas.microsoft.com/office/drawing/2014/main" id="{74D93A73-FAA9-8431-D639-5B5D74848AE0}"/>
            </a:ext>
          </a:extLst>
        </xdr:cNvPr>
        <xdr:cNvPicPr>
          <a:picLocks noChangeAspect="1"/>
        </xdr:cNvPicPr>
      </xdr:nvPicPr>
      <xdr:blipFill>
        <a:blip xmlns:r="http://schemas.openxmlformats.org/officeDocument/2006/relationships" r:embed="rId4"/>
        <a:stretch>
          <a:fillRect/>
        </a:stretch>
      </xdr:blipFill>
      <xdr:spPr>
        <a:xfrm>
          <a:off x="7360920" y="12153900"/>
          <a:ext cx="7401958" cy="75258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12</xdr:col>
      <xdr:colOff>7620</xdr:colOff>
      <xdr:row>24</xdr:row>
      <xdr:rowOff>0</xdr:rowOff>
    </xdr:from>
    <xdr:to>
      <xdr:col>22</xdr:col>
      <xdr:colOff>448642</xdr:colOff>
      <xdr:row>26</xdr:row>
      <xdr:rowOff>53398</xdr:rowOff>
    </xdr:to>
    <xdr:pic>
      <xdr:nvPicPr>
        <xdr:cNvPr id="2" name="Picture 1">
          <a:extLst>
            <a:ext uri="{FF2B5EF4-FFF2-40B4-BE49-F238E27FC236}">
              <a16:creationId xmlns:a16="http://schemas.microsoft.com/office/drawing/2014/main" id="{8C7DC55E-1CF5-5B01-22C1-C42098709454}"/>
            </a:ext>
          </a:extLst>
        </xdr:cNvPr>
        <xdr:cNvPicPr>
          <a:picLocks noChangeAspect="1"/>
        </xdr:cNvPicPr>
      </xdr:nvPicPr>
      <xdr:blipFill>
        <a:blip xmlns:r="http://schemas.openxmlformats.org/officeDocument/2006/relationships" r:embed="rId1"/>
        <a:stretch>
          <a:fillRect/>
        </a:stretch>
      </xdr:blipFill>
      <xdr:spPr>
        <a:xfrm>
          <a:off x="7322820" y="5318760"/>
          <a:ext cx="6925642" cy="419158"/>
        </a:xfrm>
        <a:prstGeom prst="rect">
          <a:avLst/>
        </a:prstGeom>
      </xdr:spPr>
    </xdr:pic>
    <xdr:clientData/>
  </xdr:twoCellAnchor>
  <xdr:twoCellAnchor editAs="oneCell">
    <xdr:from>
      <xdr:col>0</xdr:col>
      <xdr:colOff>0</xdr:colOff>
      <xdr:row>18</xdr:row>
      <xdr:rowOff>0</xdr:rowOff>
    </xdr:from>
    <xdr:to>
      <xdr:col>10</xdr:col>
      <xdr:colOff>209550</xdr:colOff>
      <xdr:row>27</xdr:row>
      <xdr:rowOff>12700</xdr:rowOff>
    </xdr:to>
    <xdr:pic>
      <xdr:nvPicPr>
        <xdr:cNvPr id="2049" name="Picture 1">
          <a:extLst>
            <a:ext uri="{FF2B5EF4-FFF2-40B4-BE49-F238E27FC236}">
              <a16:creationId xmlns:a16="http://schemas.microsoft.com/office/drawing/2014/main" id="{9498C39A-A04E-57DD-5EBC-14E89368CA9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622800"/>
          <a:ext cx="6851650" cy="1670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12</xdr:col>
      <xdr:colOff>0</xdr:colOff>
      <xdr:row>30</xdr:row>
      <xdr:rowOff>0</xdr:rowOff>
    </xdr:from>
    <xdr:to>
      <xdr:col>34</xdr:col>
      <xdr:colOff>233765</xdr:colOff>
      <xdr:row>45</xdr:row>
      <xdr:rowOff>67070</xdr:rowOff>
    </xdr:to>
    <xdr:pic>
      <xdr:nvPicPr>
        <xdr:cNvPr id="4" name="Picture 3">
          <a:extLst>
            <a:ext uri="{FF2B5EF4-FFF2-40B4-BE49-F238E27FC236}">
              <a16:creationId xmlns:a16="http://schemas.microsoft.com/office/drawing/2014/main" id="{E6B4E09D-45F9-716B-8236-AAE2C1792B05}"/>
            </a:ext>
          </a:extLst>
        </xdr:cNvPr>
        <xdr:cNvPicPr>
          <a:picLocks noChangeAspect="1"/>
        </xdr:cNvPicPr>
      </xdr:nvPicPr>
      <xdr:blipFill>
        <a:blip xmlns:r="http://schemas.openxmlformats.org/officeDocument/2006/relationships" r:embed="rId3"/>
        <a:stretch>
          <a:fillRect/>
        </a:stretch>
      </xdr:blipFill>
      <xdr:spPr>
        <a:xfrm>
          <a:off x="7861300" y="6470650"/>
          <a:ext cx="14260915" cy="282932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91440</xdr:rowOff>
    </xdr:from>
    <xdr:to>
      <xdr:col>11</xdr:col>
      <xdr:colOff>22860</xdr:colOff>
      <xdr:row>20</xdr:row>
      <xdr:rowOff>167640</xdr:rowOff>
    </xdr:to>
    <xdr:pic>
      <xdr:nvPicPr>
        <xdr:cNvPr id="2" name="Picture 1">
          <a:extLst>
            <a:ext uri="{FF2B5EF4-FFF2-40B4-BE49-F238E27FC236}">
              <a16:creationId xmlns:a16="http://schemas.microsoft.com/office/drawing/2014/main" id="{58F72C01-4F96-D5BC-0408-0CAFA1DC58D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91440"/>
          <a:ext cx="6728460" cy="3733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0</xdr:colOff>
      <xdr:row>2</xdr:row>
      <xdr:rowOff>0</xdr:rowOff>
    </xdr:from>
    <xdr:to>
      <xdr:col>20</xdr:col>
      <xdr:colOff>133964</xdr:colOff>
      <xdr:row>5</xdr:row>
      <xdr:rowOff>3887</xdr:rowOff>
    </xdr:to>
    <xdr:pic>
      <xdr:nvPicPr>
        <xdr:cNvPr id="3" name="Picture 2">
          <a:extLst>
            <a:ext uri="{FF2B5EF4-FFF2-40B4-BE49-F238E27FC236}">
              <a16:creationId xmlns:a16="http://schemas.microsoft.com/office/drawing/2014/main" id="{10D4B3C5-A27C-4FBF-29A7-7827940EA0B3}"/>
            </a:ext>
          </a:extLst>
        </xdr:cNvPr>
        <xdr:cNvPicPr>
          <a:picLocks noChangeAspect="1"/>
        </xdr:cNvPicPr>
      </xdr:nvPicPr>
      <xdr:blipFill>
        <a:blip xmlns:r="http://schemas.openxmlformats.org/officeDocument/2006/relationships" r:embed="rId2"/>
        <a:stretch>
          <a:fillRect/>
        </a:stretch>
      </xdr:blipFill>
      <xdr:spPr>
        <a:xfrm>
          <a:off x="7924800" y="365760"/>
          <a:ext cx="4401164" cy="552527"/>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9</xdr:col>
      <xdr:colOff>486523</xdr:colOff>
      <xdr:row>2</xdr:row>
      <xdr:rowOff>485843</xdr:rowOff>
    </xdr:to>
    <xdr:pic>
      <xdr:nvPicPr>
        <xdr:cNvPr id="2" name="Picture 1">
          <a:extLst>
            <a:ext uri="{FF2B5EF4-FFF2-40B4-BE49-F238E27FC236}">
              <a16:creationId xmlns:a16="http://schemas.microsoft.com/office/drawing/2014/main" id="{76EEAABE-E456-DBAF-1D71-89D672C2C6CE}"/>
            </a:ext>
          </a:extLst>
        </xdr:cNvPr>
        <xdr:cNvPicPr>
          <a:picLocks noChangeAspect="1"/>
        </xdr:cNvPicPr>
      </xdr:nvPicPr>
      <xdr:blipFill>
        <a:blip xmlns:r="http://schemas.openxmlformats.org/officeDocument/2006/relationships" r:embed="rId1"/>
        <a:stretch>
          <a:fillRect/>
        </a:stretch>
      </xdr:blipFill>
      <xdr:spPr>
        <a:xfrm>
          <a:off x="609600" y="368300"/>
          <a:ext cx="5363323" cy="485843"/>
        </a:xfrm>
        <a:prstGeom prst="rect">
          <a:avLst/>
        </a:prstGeom>
      </xdr:spPr>
    </xdr:pic>
    <xdr:clientData/>
  </xdr:twoCellAnchor>
  <xdr:twoCellAnchor editAs="oneCell">
    <xdr:from>
      <xdr:col>1</xdr:col>
      <xdr:colOff>1</xdr:colOff>
      <xdr:row>4</xdr:row>
      <xdr:rowOff>1</xdr:rowOff>
    </xdr:from>
    <xdr:to>
      <xdr:col>9</xdr:col>
      <xdr:colOff>597503</xdr:colOff>
      <xdr:row>9</xdr:row>
      <xdr:rowOff>127000</xdr:rowOff>
    </xdr:to>
    <xdr:pic>
      <xdr:nvPicPr>
        <xdr:cNvPr id="3" name="Picture 2">
          <a:extLst>
            <a:ext uri="{FF2B5EF4-FFF2-40B4-BE49-F238E27FC236}">
              <a16:creationId xmlns:a16="http://schemas.microsoft.com/office/drawing/2014/main" id="{336017C3-6F0E-6726-8592-C9E52240AD76}"/>
            </a:ext>
          </a:extLst>
        </xdr:cNvPr>
        <xdr:cNvPicPr>
          <a:picLocks noChangeAspect="1"/>
        </xdr:cNvPicPr>
      </xdr:nvPicPr>
      <xdr:blipFill>
        <a:blip xmlns:r="http://schemas.openxmlformats.org/officeDocument/2006/relationships" r:embed="rId2"/>
        <a:stretch>
          <a:fillRect/>
        </a:stretch>
      </xdr:blipFill>
      <xdr:spPr>
        <a:xfrm>
          <a:off x="609601" y="1123951"/>
          <a:ext cx="5474302" cy="1085849"/>
        </a:xfrm>
        <a:prstGeom prst="rect">
          <a:avLst/>
        </a:prstGeom>
      </xdr:spPr>
    </xdr:pic>
    <xdr:clientData/>
  </xdr:twoCellAnchor>
  <xdr:twoCellAnchor editAs="oneCell">
    <xdr:from>
      <xdr:col>0</xdr:col>
      <xdr:colOff>539751</xdr:colOff>
      <xdr:row>12</xdr:row>
      <xdr:rowOff>121608</xdr:rowOff>
    </xdr:from>
    <xdr:to>
      <xdr:col>11</xdr:col>
      <xdr:colOff>390729</xdr:colOff>
      <xdr:row>26</xdr:row>
      <xdr:rowOff>99059</xdr:rowOff>
    </xdr:to>
    <xdr:pic>
      <xdr:nvPicPr>
        <xdr:cNvPr id="4" name="Picture 3">
          <a:extLst>
            <a:ext uri="{FF2B5EF4-FFF2-40B4-BE49-F238E27FC236}">
              <a16:creationId xmlns:a16="http://schemas.microsoft.com/office/drawing/2014/main" id="{DFE6641F-AE50-2112-78BF-9EB7F341DB76}"/>
            </a:ext>
          </a:extLst>
        </xdr:cNvPr>
        <xdr:cNvPicPr>
          <a:picLocks noChangeAspect="1"/>
        </xdr:cNvPicPr>
      </xdr:nvPicPr>
      <xdr:blipFill>
        <a:blip xmlns:r="http://schemas.openxmlformats.org/officeDocument/2006/relationships" r:embed="rId3"/>
        <a:stretch>
          <a:fillRect/>
        </a:stretch>
      </xdr:blipFill>
      <xdr:spPr>
        <a:xfrm>
          <a:off x="539751" y="2788608"/>
          <a:ext cx="6556578" cy="2537771"/>
        </a:xfrm>
        <a:prstGeom prst="rect">
          <a:avLst/>
        </a:prstGeom>
      </xdr:spPr>
    </xdr:pic>
    <xdr:clientData/>
  </xdr:twoCellAnchor>
  <xdr:twoCellAnchor editAs="oneCell">
    <xdr:from>
      <xdr:col>1</xdr:col>
      <xdr:colOff>0</xdr:colOff>
      <xdr:row>32</xdr:row>
      <xdr:rowOff>0</xdr:rowOff>
    </xdr:from>
    <xdr:to>
      <xdr:col>8</xdr:col>
      <xdr:colOff>267333</xdr:colOff>
      <xdr:row>33</xdr:row>
      <xdr:rowOff>160068</xdr:rowOff>
    </xdr:to>
    <xdr:pic>
      <xdr:nvPicPr>
        <xdr:cNvPr id="5" name="Picture 4">
          <a:extLst>
            <a:ext uri="{FF2B5EF4-FFF2-40B4-BE49-F238E27FC236}">
              <a16:creationId xmlns:a16="http://schemas.microsoft.com/office/drawing/2014/main" id="{62DC24B1-7CE4-2518-5F97-6322D01EA339}"/>
            </a:ext>
          </a:extLst>
        </xdr:cNvPr>
        <xdr:cNvPicPr>
          <a:picLocks noChangeAspect="1"/>
        </xdr:cNvPicPr>
      </xdr:nvPicPr>
      <xdr:blipFill>
        <a:blip xmlns:r="http://schemas.openxmlformats.org/officeDocument/2006/relationships" r:embed="rId4"/>
        <a:stretch>
          <a:fillRect/>
        </a:stretch>
      </xdr:blipFill>
      <xdr:spPr>
        <a:xfrm>
          <a:off x="609600" y="5227320"/>
          <a:ext cx="4534533" cy="342948"/>
        </a:xfrm>
        <a:prstGeom prst="rect">
          <a:avLst/>
        </a:prstGeom>
      </xdr:spPr>
    </xdr:pic>
    <xdr:clientData/>
  </xdr:twoCellAnchor>
  <xdr:twoCellAnchor editAs="oneCell">
    <xdr:from>
      <xdr:col>1</xdr:col>
      <xdr:colOff>152400</xdr:colOff>
      <xdr:row>49</xdr:row>
      <xdr:rowOff>175260</xdr:rowOff>
    </xdr:from>
    <xdr:to>
      <xdr:col>11</xdr:col>
      <xdr:colOff>210409</xdr:colOff>
      <xdr:row>62</xdr:row>
      <xdr:rowOff>93665</xdr:rowOff>
    </xdr:to>
    <xdr:pic>
      <xdr:nvPicPr>
        <xdr:cNvPr id="6" name="Picture 5">
          <a:extLst>
            <a:ext uri="{FF2B5EF4-FFF2-40B4-BE49-F238E27FC236}">
              <a16:creationId xmlns:a16="http://schemas.microsoft.com/office/drawing/2014/main" id="{F8E8EEAB-EDC2-1F55-FAAB-1AFECE2A45C8}"/>
            </a:ext>
          </a:extLst>
        </xdr:cNvPr>
        <xdr:cNvPicPr>
          <a:picLocks noChangeAspect="1"/>
        </xdr:cNvPicPr>
      </xdr:nvPicPr>
      <xdr:blipFill>
        <a:blip xmlns:r="http://schemas.openxmlformats.org/officeDocument/2006/relationships" r:embed="rId5"/>
        <a:stretch>
          <a:fillRect/>
        </a:stretch>
      </xdr:blipFill>
      <xdr:spPr>
        <a:xfrm>
          <a:off x="762000" y="9608820"/>
          <a:ext cx="6154009" cy="2295845"/>
        </a:xfrm>
        <a:prstGeom prst="rect">
          <a:avLst/>
        </a:prstGeom>
      </xdr:spPr>
    </xdr:pic>
    <xdr:clientData/>
  </xdr:twoCellAnchor>
  <xdr:twoCellAnchor editAs="oneCell">
    <xdr:from>
      <xdr:col>8</xdr:col>
      <xdr:colOff>556260</xdr:colOff>
      <xdr:row>30</xdr:row>
      <xdr:rowOff>68580</xdr:rowOff>
    </xdr:from>
    <xdr:to>
      <xdr:col>18</xdr:col>
      <xdr:colOff>585690</xdr:colOff>
      <xdr:row>34</xdr:row>
      <xdr:rowOff>42008</xdr:rowOff>
    </xdr:to>
    <xdr:pic>
      <xdr:nvPicPr>
        <xdr:cNvPr id="7" name="Picture 6">
          <a:extLst>
            <a:ext uri="{FF2B5EF4-FFF2-40B4-BE49-F238E27FC236}">
              <a16:creationId xmlns:a16="http://schemas.microsoft.com/office/drawing/2014/main" id="{B59C23BC-4A88-68E0-55F7-31DC5244EB9F}"/>
            </a:ext>
          </a:extLst>
        </xdr:cNvPr>
        <xdr:cNvPicPr>
          <a:picLocks noChangeAspect="1"/>
        </xdr:cNvPicPr>
      </xdr:nvPicPr>
      <xdr:blipFill>
        <a:blip xmlns:r="http://schemas.openxmlformats.org/officeDocument/2006/relationships" r:embed="rId6"/>
        <a:stretch>
          <a:fillRect/>
        </a:stretch>
      </xdr:blipFill>
      <xdr:spPr>
        <a:xfrm>
          <a:off x="5433060" y="6027420"/>
          <a:ext cx="6125430" cy="704948"/>
        </a:xfrm>
        <a:prstGeom prst="rect">
          <a:avLst/>
        </a:prstGeom>
      </xdr:spPr>
    </xdr:pic>
    <xdr:clientData/>
  </xdr:twoCellAnchor>
  <xdr:twoCellAnchor editAs="oneCell">
    <xdr:from>
      <xdr:col>0</xdr:col>
      <xdr:colOff>548640</xdr:colOff>
      <xdr:row>35</xdr:row>
      <xdr:rowOff>106681</xdr:rowOff>
    </xdr:from>
    <xdr:to>
      <xdr:col>12</xdr:col>
      <xdr:colOff>472531</xdr:colOff>
      <xdr:row>42</xdr:row>
      <xdr:rowOff>15241</xdr:rowOff>
    </xdr:to>
    <xdr:pic>
      <xdr:nvPicPr>
        <xdr:cNvPr id="9" name="Picture 8">
          <a:extLst>
            <a:ext uri="{FF2B5EF4-FFF2-40B4-BE49-F238E27FC236}">
              <a16:creationId xmlns:a16="http://schemas.microsoft.com/office/drawing/2014/main" id="{8DE89B81-A274-67FD-12F3-6F74E0A811B8}"/>
            </a:ext>
          </a:extLst>
        </xdr:cNvPr>
        <xdr:cNvPicPr>
          <a:picLocks noChangeAspect="1"/>
        </xdr:cNvPicPr>
      </xdr:nvPicPr>
      <xdr:blipFill>
        <a:blip xmlns:r="http://schemas.openxmlformats.org/officeDocument/2006/relationships" r:embed="rId7"/>
        <a:stretch>
          <a:fillRect/>
        </a:stretch>
      </xdr:blipFill>
      <xdr:spPr>
        <a:xfrm>
          <a:off x="548640" y="6979921"/>
          <a:ext cx="7239091" cy="1188720"/>
        </a:xfrm>
        <a:prstGeom prst="rect">
          <a:avLst/>
        </a:prstGeom>
      </xdr:spPr>
    </xdr:pic>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0DB33B81-08D9-493A-B667-BB356FDCB2A5}" autoFormatId="16" applyNumberFormats="0" applyBorderFormats="0" applyFontFormats="0" applyPatternFormats="0" applyAlignmentFormats="0" applyWidthHeightFormats="0">
  <queryTableRefresh nextId="23" unboundColumnsRight="1">
    <queryTableFields count="19">
      <queryTableField id="1" name="Column1" tableColumnId="1"/>
      <queryTableField id="4" name="Column4" tableColumnId="4"/>
      <queryTableField id="5" name="Column5" tableColumnId="5"/>
      <queryTableField id="6" name="Column6" tableColumnId="6"/>
      <queryTableField id="7" name="Column7" tableColumnId="7"/>
      <queryTableField id="8" name="Column8" tableColumnId="8"/>
      <queryTableField id="9" name="Column9" tableColumnId="9"/>
      <queryTableField id="10" name="Column10" tableColumnId="10"/>
      <queryTableField id="11" name="Column11" tableColumnId="11"/>
      <queryTableField id="12" name="Column12" tableColumnId="12"/>
      <queryTableField id="13" name="Column13" tableColumnId="13"/>
      <queryTableField id="14" name="Column14" tableColumnId="14"/>
      <queryTableField id="15" name="Column15" tableColumnId="15"/>
      <queryTableField id="16" name="Column16" tableColumnId="16"/>
      <queryTableField id="20" dataBound="0" tableColumnId="20"/>
      <queryTableField id="17" name="Column17" tableColumnId="17"/>
      <queryTableField id="21" dataBound="0" tableColumnId="21"/>
      <queryTableField id="18" name="Column18" tableColumnId="18"/>
      <queryTableField id="22" dataBound="0" tableColumnId="22"/>
    </queryTableFields>
    <queryTableDeletedFields count="3">
      <deletedField name="Column2"/>
      <deletedField name="Column3"/>
      <deletedField name="Column19"/>
    </queryTableDeleted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8FA9C76-FCA0-4D72-98E9-7D3D441F0363}" name="tabla" displayName="tabla" ref="A1:S10" tableType="queryTable" totalsRowShown="0" headerRowDxfId="9">
  <autoFilter ref="A1:S10" xr:uid="{68FA9C76-FCA0-4D72-98E9-7D3D441F0363}"/>
  <tableColumns count="19">
    <tableColumn id="1" xr3:uid="{0DB80D78-D4E0-48BE-9ABE-E24DA16E74C5}" uniqueName="1" name="Column1" queryTableFieldId="1" dataDxfId="8"/>
    <tableColumn id="4" xr3:uid="{7B55CB6A-31F8-4A24-ADCB-B8EB1DF9DBE4}" uniqueName="4" name="Column4" queryTableFieldId="4"/>
    <tableColumn id="5" xr3:uid="{F3949CAC-8401-40B6-AE2B-F0174F907322}" uniqueName="5" name="Jan" queryTableFieldId="5"/>
    <tableColumn id="6" xr3:uid="{03BF1F23-67B4-400C-8F55-F8A381FED846}" uniqueName="6" name="Feb" queryTableFieldId="6"/>
    <tableColumn id="7" xr3:uid="{1C0485B3-FB63-42A1-B5D0-C7F5E505231E}" uniqueName="7" name="Mar" queryTableFieldId="7"/>
    <tableColumn id="8" xr3:uid="{6818828D-0C32-449B-92B1-891B3E5845EF}" uniqueName="8" name="Apr" queryTableFieldId="8"/>
    <tableColumn id="9" xr3:uid="{E8E1FF81-C6CF-4FC7-A2A6-0264CE3E210B}" uniqueName="9" name="May" queryTableFieldId="9"/>
    <tableColumn id="10" xr3:uid="{5DDF9EA9-2BB8-415C-9C59-4771C8A3A808}" uniqueName="10" name="Jun" queryTableFieldId="10" dataDxfId="7"/>
    <tableColumn id="11" xr3:uid="{B6BB7DD2-85AB-44AB-9281-A4665038D069}" uniqueName="11" name="Jul" queryTableFieldId="11" dataDxfId="6"/>
    <tableColumn id="12" xr3:uid="{6AD7C3A1-B055-463C-A90F-CB9A378CBEC7}" uniqueName="12" name="Aug" queryTableFieldId="12" dataDxfId="5"/>
    <tableColumn id="13" xr3:uid="{79980511-6429-468D-B0F5-C13480573F6A}" uniqueName="13" name="Sep" queryTableFieldId="13" dataDxfId="4"/>
    <tableColumn id="14" xr3:uid="{0AF4C268-F603-4D89-B8A7-BC1E7FA6DA84}" uniqueName="14" name="Oct" queryTableFieldId="14"/>
    <tableColumn id="15" xr3:uid="{0A0DE776-3106-4036-ADE7-7765B06DC6EC}" uniqueName="15" name="Nov" queryTableFieldId="15"/>
    <tableColumn id="16" xr3:uid="{EE5C047F-DA0D-4C6C-BBDE-8EE645626AB5}" uniqueName="16" name="Dec" queryTableFieldId="16" dataDxfId="3"/>
    <tableColumn id="20" xr3:uid="{3EE65396-B2F9-42E7-8E54-DC353C709F67}" uniqueName="20" name="Ave Jun-Set" queryTableFieldId="20" dataDxfId="2" dataCellStyle="Check Cell">
      <calculatedColumnFormula>AVERAGE(tabla[[#This Row],[Jun]:[Sep]])</calculatedColumnFormula>
    </tableColumn>
    <tableColumn id="17" xr3:uid="{98D2EBA3-8809-4E1F-84B8-20E2026236B2}" uniqueName="17" name="fsh;with;on_x000a_(JUN-SET)" queryTableFieldId="17" dataDxfId="1"/>
    <tableColumn id="21" xr3:uid="{98D8C004-E164-4AA3-BACE-7E3F2C925BE4}" uniqueName="21" name="Ave  Oct-May" queryTableFieldId="21" dataCellStyle="Check Cell">
      <calculatedColumnFormula>AVERAGE(C2:G2,L2:N2)</calculatedColumnFormula>
    </tableColumn>
    <tableColumn id="18" xr3:uid="{CCB57259-B25A-4E65-8326-A2443B48164C}" uniqueName="18" name="fsh;with;off_x000a_(ENE-MAY_x000a_OCT-DIC)" queryTableFieldId="18"/>
    <tableColumn id="22" xr3:uid="{0C74175E-D223-4B64-A579-8EF4FA763C7E}" uniqueName="22" name="Column2" queryTableFieldId="22"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1E3C3E-08E2-4498-90D5-19A50526AE5C}">
  <dimension ref="A1"/>
  <sheetViews>
    <sheetView workbookViewId="0">
      <selection activeCell="I22" sqref="I22"/>
    </sheetView>
  </sheetViews>
  <sheetFormatPr defaultRowHeight="14.4"/>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N66"/>
  <sheetViews>
    <sheetView topLeftCell="A28" workbookViewId="0">
      <selection activeCell="D44" sqref="D44:D48"/>
    </sheetView>
  </sheetViews>
  <sheetFormatPr defaultRowHeight="14.4"/>
  <sheetData>
    <row r="1" spans="1:11" ht="48">
      <c r="A1" s="1" t="s">
        <v>0</v>
      </c>
      <c r="B1" s="2" t="s">
        <v>1</v>
      </c>
      <c r="C1" s="3" t="s">
        <v>2</v>
      </c>
      <c r="D1" s="4" t="s">
        <v>3</v>
      </c>
      <c r="E1" s="4" t="s">
        <v>4</v>
      </c>
      <c r="F1" s="5" t="s">
        <v>5</v>
      </c>
      <c r="G1" s="6" t="s">
        <v>6</v>
      </c>
      <c r="H1" s="6" t="s">
        <v>7</v>
      </c>
      <c r="I1" s="6" t="s">
        <v>8</v>
      </c>
      <c r="J1" s="7" t="s">
        <v>9</v>
      </c>
      <c r="K1" s="8"/>
    </row>
    <row r="2" spans="1:11">
      <c r="A2" s="110" t="s">
        <v>54</v>
      </c>
      <c r="B2" s="110"/>
      <c r="C2" s="110"/>
      <c r="D2" s="110"/>
      <c r="E2" s="110"/>
      <c r="F2" s="110"/>
      <c r="G2" s="110"/>
      <c r="H2" s="110"/>
      <c r="I2" s="110"/>
      <c r="J2" s="110"/>
      <c r="K2" s="110"/>
    </row>
    <row r="3" spans="1:11">
      <c r="A3" s="104" t="s">
        <v>10</v>
      </c>
      <c r="B3" s="104"/>
      <c r="C3" s="104"/>
      <c r="D3" s="104"/>
      <c r="E3" s="104"/>
      <c r="F3" s="104"/>
      <c r="G3" s="104"/>
      <c r="H3" s="104"/>
      <c r="I3" s="104"/>
      <c r="J3" s="104"/>
      <c r="K3" s="9"/>
    </row>
    <row r="4" spans="1:11">
      <c r="A4" s="109" t="s">
        <v>11</v>
      </c>
      <c r="B4" s="109"/>
      <c r="C4" s="109"/>
      <c r="D4" s="109"/>
      <c r="E4" s="109"/>
      <c r="F4" s="109"/>
      <c r="G4" s="109"/>
      <c r="H4" s="109"/>
      <c r="I4" s="109"/>
      <c r="J4" s="109"/>
      <c r="K4" s="109"/>
    </row>
    <row r="5" spans="1:11">
      <c r="A5" s="10" t="s">
        <v>12</v>
      </c>
      <c r="B5" s="10" t="s">
        <v>13</v>
      </c>
      <c r="C5" s="10" t="s">
        <v>55</v>
      </c>
      <c r="D5" s="11">
        <v>1</v>
      </c>
      <c r="E5" s="11">
        <v>1</v>
      </c>
      <c r="F5" s="10">
        <v>25.4</v>
      </c>
      <c r="G5" s="12"/>
      <c r="H5" s="10">
        <v>25.4</v>
      </c>
      <c r="I5" s="10">
        <v>0.22</v>
      </c>
      <c r="J5" s="13">
        <v>5.59</v>
      </c>
      <c r="K5" s="9"/>
    </row>
    <row r="6" spans="1:11">
      <c r="A6" s="10" t="s">
        <v>14</v>
      </c>
      <c r="B6" s="10" t="s">
        <v>13</v>
      </c>
      <c r="C6" s="10" t="s">
        <v>15</v>
      </c>
      <c r="D6" s="11">
        <v>1</v>
      </c>
      <c r="E6" s="11">
        <v>1</v>
      </c>
      <c r="F6" s="12"/>
      <c r="G6" s="10">
        <v>6.6</v>
      </c>
      <c r="H6" s="10">
        <v>6.6</v>
      </c>
      <c r="I6" s="10">
        <v>1.1399999999999999</v>
      </c>
      <c r="J6" s="13">
        <v>7.52</v>
      </c>
      <c r="K6" s="9"/>
    </row>
    <row r="7" spans="1:11">
      <c r="A7" s="10" t="s">
        <v>16</v>
      </c>
      <c r="B7" s="10" t="s">
        <v>13</v>
      </c>
      <c r="C7" s="10" t="s">
        <v>55</v>
      </c>
      <c r="D7" s="11">
        <v>1</v>
      </c>
      <c r="E7" s="11">
        <v>1</v>
      </c>
      <c r="F7" s="10">
        <v>25.4</v>
      </c>
      <c r="G7" s="12"/>
      <c r="H7" s="10">
        <v>25.4</v>
      </c>
      <c r="I7" s="10">
        <v>0.22</v>
      </c>
      <c r="J7" s="13">
        <v>5.59</v>
      </c>
      <c r="K7" s="9"/>
    </row>
    <row r="8" spans="1:11">
      <c r="A8" s="10" t="s">
        <v>17</v>
      </c>
      <c r="B8" s="10" t="s">
        <v>13</v>
      </c>
      <c r="C8" s="10" t="s">
        <v>15</v>
      </c>
      <c r="D8" s="11">
        <v>1</v>
      </c>
      <c r="E8" s="11">
        <v>1</v>
      </c>
      <c r="F8" s="14"/>
      <c r="G8" s="10">
        <v>6.6</v>
      </c>
      <c r="H8" s="10">
        <v>6.6</v>
      </c>
      <c r="I8" s="10">
        <v>1.1399999999999999</v>
      </c>
      <c r="J8" s="13">
        <v>7.52</v>
      </c>
      <c r="K8" s="9"/>
    </row>
    <row r="9" spans="1:11">
      <c r="A9" s="10" t="s">
        <v>18</v>
      </c>
      <c r="B9" s="10" t="s">
        <v>13</v>
      </c>
      <c r="C9" s="10" t="s">
        <v>55</v>
      </c>
      <c r="D9" s="11">
        <v>1</v>
      </c>
      <c r="E9" s="11">
        <v>1</v>
      </c>
      <c r="F9" s="10">
        <v>21</v>
      </c>
      <c r="G9" s="12"/>
      <c r="H9" s="10">
        <v>21</v>
      </c>
      <c r="I9" s="10">
        <v>0.22</v>
      </c>
      <c r="J9" s="13">
        <v>4.62</v>
      </c>
      <c r="K9" s="9"/>
    </row>
    <row r="10" spans="1:11">
      <c r="A10" s="10" t="s">
        <v>19</v>
      </c>
      <c r="B10" s="10" t="s">
        <v>13</v>
      </c>
      <c r="C10" s="10" t="s">
        <v>15</v>
      </c>
      <c r="D10" s="11">
        <v>1</v>
      </c>
      <c r="E10" s="11">
        <v>1</v>
      </c>
      <c r="F10" s="12"/>
      <c r="G10" s="10">
        <v>11</v>
      </c>
      <c r="H10" s="10">
        <v>11</v>
      </c>
      <c r="I10" s="10">
        <v>1.1399999999999999</v>
      </c>
      <c r="J10" s="13">
        <v>12.54</v>
      </c>
      <c r="K10" s="9"/>
    </row>
    <row r="11" spans="1:11">
      <c r="A11" s="10" t="s">
        <v>20</v>
      </c>
      <c r="B11" s="10" t="s">
        <v>13</v>
      </c>
      <c r="C11" s="10" t="s">
        <v>55</v>
      </c>
      <c r="D11" s="11">
        <v>1</v>
      </c>
      <c r="E11" s="11">
        <v>1</v>
      </c>
      <c r="F11" s="10">
        <v>27.6</v>
      </c>
      <c r="G11" s="12"/>
      <c r="H11" s="10">
        <v>27.6</v>
      </c>
      <c r="I11" s="10">
        <v>0.22</v>
      </c>
      <c r="J11" s="13">
        <v>6.07</v>
      </c>
      <c r="K11" s="9"/>
    </row>
    <row r="12" spans="1:11">
      <c r="A12" s="10" t="s">
        <v>21</v>
      </c>
      <c r="B12" s="10" t="s">
        <v>13</v>
      </c>
      <c r="C12" s="10" t="s">
        <v>22</v>
      </c>
      <c r="D12" s="11">
        <v>1</v>
      </c>
      <c r="E12" s="11">
        <v>1</v>
      </c>
      <c r="F12" s="14"/>
      <c r="G12" s="10">
        <v>2.2000000000000002</v>
      </c>
      <c r="H12" s="10">
        <v>2.2000000000000002</v>
      </c>
      <c r="I12" s="10">
        <v>2.2000000000000002</v>
      </c>
      <c r="J12" s="13">
        <v>4.84</v>
      </c>
      <c r="K12" s="9"/>
    </row>
    <row r="13" spans="1:11">
      <c r="A13" s="10" t="s">
        <v>23</v>
      </c>
      <c r="B13" s="10" t="s">
        <v>13</v>
      </c>
      <c r="C13" s="10" t="s">
        <v>15</v>
      </c>
      <c r="D13" s="11">
        <v>1</v>
      </c>
      <c r="E13" s="11">
        <v>1</v>
      </c>
      <c r="F13" s="12"/>
      <c r="G13" s="10">
        <v>2.2000000000000002</v>
      </c>
      <c r="H13" s="10">
        <v>2.2000000000000002</v>
      </c>
      <c r="I13" s="10">
        <v>1.1399999999999999</v>
      </c>
      <c r="J13" s="13">
        <v>2.5099999999999998</v>
      </c>
      <c r="K13" s="9"/>
    </row>
    <row r="14" spans="1:11">
      <c r="A14" s="15"/>
      <c r="B14" s="15"/>
      <c r="C14" s="15"/>
      <c r="D14" s="15"/>
      <c r="E14" s="15"/>
      <c r="F14" s="15"/>
      <c r="G14" s="15"/>
      <c r="H14" s="15"/>
      <c r="I14" s="15"/>
      <c r="J14" s="15"/>
      <c r="K14" s="9"/>
    </row>
    <row r="15" spans="1:11">
      <c r="A15" s="16" t="s">
        <v>24</v>
      </c>
      <c r="B15" s="16" t="s">
        <v>25</v>
      </c>
      <c r="C15" s="16" t="s">
        <v>26</v>
      </c>
      <c r="D15" s="17">
        <v>1</v>
      </c>
      <c r="E15" s="17">
        <v>0</v>
      </c>
      <c r="F15" s="16" t="s">
        <v>27</v>
      </c>
      <c r="G15" s="16" t="s">
        <v>27</v>
      </c>
      <c r="H15" s="16" t="s">
        <v>27</v>
      </c>
      <c r="I15" s="16">
        <v>0.19</v>
      </c>
      <c r="J15" s="16" t="s">
        <v>27</v>
      </c>
      <c r="K15" s="9"/>
    </row>
    <row r="16" spans="1:11">
      <c r="A16" s="16" t="s">
        <v>28</v>
      </c>
      <c r="B16" s="16" t="s">
        <v>25</v>
      </c>
      <c r="C16" s="16" t="s">
        <v>29</v>
      </c>
      <c r="D16" s="17">
        <v>1</v>
      </c>
      <c r="E16" s="17">
        <v>0</v>
      </c>
      <c r="F16" s="16" t="s">
        <v>27</v>
      </c>
      <c r="G16" s="16" t="s">
        <v>27</v>
      </c>
      <c r="H16" s="16" t="s">
        <v>27</v>
      </c>
      <c r="I16" s="16">
        <v>0.16</v>
      </c>
      <c r="J16" s="16" t="s">
        <v>27</v>
      </c>
      <c r="K16" s="9"/>
    </row>
    <row r="17" spans="1:11">
      <c r="A17" s="9"/>
      <c r="B17" s="9"/>
      <c r="C17" s="9"/>
      <c r="D17" s="9"/>
      <c r="E17" s="9"/>
      <c r="F17" s="9"/>
      <c r="G17" s="9"/>
      <c r="H17" s="9"/>
      <c r="I17" s="9"/>
      <c r="J17" s="9"/>
      <c r="K17" s="9"/>
    </row>
    <row r="18" spans="1:11">
      <c r="A18" s="104" t="s">
        <v>30</v>
      </c>
      <c r="B18" s="104"/>
      <c r="C18" s="104"/>
      <c r="D18" s="104"/>
      <c r="E18" s="104"/>
      <c r="F18" s="111" t="s">
        <v>56</v>
      </c>
      <c r="G18" s="111"/>
      <c r="H18" s="111"/>
      <c r="I18" s="18"/>
      <c r="J18" s="19">
        <v>56.8</v>
      </c>
      <c r="K18" s="9"/>
    </row>
    <row r="19" spans="1:11">
      <c r="A19" s="109" t="s">
        <v>31</v>
      </c>
      <c r="B19" s="109"/>
      <c r="C19" s="109"/>
      <c r="D19" s="109"/>
      <c r="E19" s="109"/>
      <c r="F19" s="109"/>
      <c r="G19" s="109"/>
      <c r="H19" s="109"/>
      <c r="I19" s="109"/>
      <c r="J19" s="109"/>
      <c r="K19" s="109"/>
    </row>
    <row r="20" spans="1:11">
      <c r="A20" s="16" t="s">
        <v>12</v>
      </c>
      <c r="B20" s="16" t="s">
        <v>13</v>
      </c>
      <c r="C20" s="16" t="s">
        <v>55</v>
      </c>
      <c r="D20" s="17">
        <v>0</v>
      </c>
      <c r="E20" s="16" t="s">
        <v>27</v>
      </c>
      <c r="F20" s="16" t="s">
        <v>27</v>
      </c>
      <c r="G20" s="16" t="s">
        <v>27</v>
      </c>
      <c r="H20" s="16" t="s">
        <v>27</v>
      </c>
      <c r="I20" s="16">
        <v>0.22</v>
      </c>
      <c r="J20" s="16" t="s">
        <v>27</v>
      </c>
      <c r="K20" s="9"/>
    </row>
    <row r="21" spans="1:11">
      <c r="A21" s="16" t="s">
        <v>16</v>
      </c>
      <c r="B21" s="16" t="s">
        <v>13</v>
      </c>
      <c r="C21" s="16" t="s">
        <v>55</v>
      </c>
      <c r="D21" s="17">
        <v>0</v>
      </c>
      <c r="E21" s="16" t="s">
        <v>27</v>
      </c>
      <c r="F21" s="16" t="s">
        <v>27</v>
      </c>
      <c r="G21" s="16" t="s">
        <v>27</v>
      </c>
      <c r="H21" s="16" t="s">
        <v>27</v>
      </c>
      <c r="I21" s="16">
        <v>0.22</v>
      </c>
      <c r="J21" s="16" t="s">
        <v>27</v>
      </c>
      <c r="K21" s="9"/>
    </row>
    <row r="22" spans="1:11">
      <c r="A22" s="16" t="s">
        <v>18</v>
      </c>
      <c r="B22" s="16" t="s">
        <v>13</v>
      </c>
      <c r="C22" s="16" t="s">
        <v>55</v>
      </c>
      <c r="D22" s="17">
        <v>0</v>
      </c>
      <c r="E22" s="16" t="s">
        <v>27</v>
      </c>
      <c r="F22" s="16" t="s">
        <v>27</v>
      </c>
      <c r="G22" s="16" t="s">
        <v>27</v>
      </c>
      <c r="H22" s="16" t="s">
        <v>27</v>
      </c>
      <c r="I22" s="16">
        <v>0.22</v>
      </c>
      <c r="J22" s="16" t="s">
        <v>27</v>
      </c>
      <c r="K22" s="9"/>
    </row>
    <row r="23" spans="1:11">
      <c r="A23" s="16" t="s">
        <v>20</v>
      </c>
      <c r="B23" s="16" t="s">
        <v>13</v>
      </c>
      <c r="C23" s="16" t="s">
        <v>55</v>
      </c>
      <c r="D23" s="17">
        <v>0</v>
      </c>
      <c r="E23" s="16" t="s">
        <v>27</v>
      </c>
      <c r="F23" s="16" t="s">
        <v>27</v>
      </c>
      <c r="G23" s="16" t="s">
        <v>27</v>
      </c>
      <c r="H23" s="16" t="s">
        <v>27</v>
      </c>
      <c r="I23" s="16">
        <v>0.22</v>
      </c>
      <c r="J23" s="16" t="s">
        <v>27</v>
      </c>
      <c r="K23" s="9"/>
    </row>
    <row r="24" spans="1:11">
      <c r="A24" s="16" t="s">
        <v>28</v>
      </c>
      <c r="B24" s="16" t="s">
        <v>25</v>
      </c>
      <c r="C24" s="16" t="s">
        <v>26</v>
      </c>
      <c r="D24" s="17">
        <v>0</v>
      </c>
      <c r="E24" s="16" t="s">
        <v>27</v>
      </c>
      <c r="F24" s="16" t="s">
        <v>27</v>
      </c>
      <c r="G24" s="16" t="s">
        <v>27</v>
      </c>
      <c r="H24" s="16" t="s">
        <v>27</v>
      </c>
      <c r="I24" s="16">
        <v>0.16</v>
      </c>
      <c r="J24" s="16" t="s">
        <v>27</v>
      </c>
      <c r="K24" s="9"/>
    </row>
    <row r="25" spans="1:11">
      <c r="A25" s="16" t="s">
        <v>32</v>
      </c>
      <c r="B25" s="16" t="s">
        <v>13</v>
      </c>
      <c r="C25" s="16" t="s">
        <v>33</v>
      </c>
      <c r="D25" s="17">
        <v>0</v>
      </c>
      <c r="E25" s="16" t="s">
        <v>27</v>
      </c>
      <c r="F25" s="16" t="s">
        <v>27</v>
      </c>
      <c r="G25" s="16" t="s">
        <v>27</v>
      </c>
      <c r="H25" s="16" t="s">
        <v>27</v>
      </c>
      <c r="I25" s="16">
        <v>0.17</v>
      </c>
      <c r="J25" s="16" t="s">
        <v>27</v>
      </c>
      <c r="K25" s="9"/>
    </row>
    <row r="26" spans="1:11">
      <c r="A26" s="16" t="s">
        <v>34</v>
      </c>
      <c r="B26" s="16" t="s">
        <v>13</v>
      </c>
      <c r="C26" s="16" t="s">
        <v>33</v>
      </c>
      <c r="D26" s="17">
        <v>0</v>
      </c>
      <c r="E26" s="16" t="s">
        <v>27</v>
      </c>
      <c r="F26" s="16" t="s">
        <v>27</v>
      </c>
      <c r="G26" s="16" t="s">
        <v>27</v>
      </c>
      <c r="H26" s="16" t="s">
        <v>27</v>
      </c>
      <c r="I26" s="16">
        <v>0.17</v>
      </c>
      <c r="J26" s="16" t="s">
        <v>27</v>
      </c>
      <c r="K26" s="9"/>
    </row>
    <row r="27" spans="1:11">
      <c r="A27" s="16" t="s">
        <v>35</v>
      </c>
      <c r="B27" s="16" t="s">
        <v>13</v>
      </c>
      <c r="C27" s="16" t="s">
        <v>33</v>
      </c>
      <c r="D27" s="17">
        <v>0</v>
      </c>
      <c r="E27" s="16" t="s">
        <v>27</v>
      </c>
      <c r="F27" s="16" t="s">
        <v>27</v>
      </c>
      <c r="G27" s="16" t="s">
        <v>27</v>
      </c>
      <c r="H27" s="16" t="s">
        <v>27</v>
      </c>
      <c r="I27" s="16">
        <v>0.17</v>
      </c>
      <c r="J27" s="16" t="s">
        <v>27</v>
      </c>
      <c r="K27" s="9"/>
    </row>
    <row r="28" spans="1:11">
      <c r="A28" s="16" t="s">
        <v>36</v>
      </c>
      <c r="B28" s="16" t="s">
        <v>13</v>
      </c>
      <c r="C28" s="16" t="s">
        <v>33</v>
      </c>
      <c r="D28" s="17">
        <v>0</v>
      </c>
      <c r="E28" s="16" t="s">
        <v>27</v>
      </c>
      <c r="F28" s="16" t="s">
        <v>27</v>
      </c>
      <c r="G28" s="16" t="s">
        <v>27</v>
      </c>
      <c r="H28" s="16" t="s">
        <v>27</v>
      </c>
      <c r="I28" s="16">
        <v>0.17</v>
      </c>
      <c r="J28" s="16" t="s">
        <v>27</v>
      </c>
      <c r="K28" s="9"/>
    </row>
    <row r="29" spans="1:11">
      <c r="A29" s="9"/>
      <c r="B29" s="9"/>
      <c r="C29" s="9"/>
      <c r="D29" s="9"/>
      <c r="E29" s="9"/>
      <c r="F29" s="9"/>
      <c r="G29" s="9"/>
      <c r="H29" s="9"/>
      <c r="I29" s="9"/>
      <c r="J29" s="9"/>
      <c r="K29" s="9"/>
    </row>
    <row r="30" spans="1:11">
      <c r="A30" s="104" t="s">
        <v>37</v>
      </c>
      <c r="B30" s="104"/>
      <c r="C30" s="104"/>
      <c r="D30" s="104"/>
      <c r="E30" s="104"/>
      <c r="F30" s="19">
        <v>0</v>
      </c>
      <c r="G30" s="19">
        <v>0</v>
      </c>
      <c r="H30" s="19">
        <v>0</v>
      </c>
      <c r="I30" s="18"/>
      <c r="J30" s="20"/>
      <c r="K30" s="9"/>
    </row>
    <row r="31" spans="1:11">
      <c r="A31" s="105"/>
      <c r="B31" s="105"/>
      <c r="C31" s="105"/>
      <c r="D31" s="105"/>
      <c r="E31" s="105"/>
      <c r="F31" s="9"/>
      <c r="G31" s="9"/>
      <c r="H31" s="9"/>
      <c r="I31" s="9"/>
      <c r="J31" s="9"/>
      <c r="K31" s="9"/>
    </row>
    <row r="32" spans="1:11">
      <c r="A32" s="102" t="s">
        <v>38</v>
      </c>
      <c r="B32" s="102"/>
      <c r="C32" s="102"/>
      <c r="D32" s="102"/>
      <c r="E32" s="102"/>
      <c r="F32" s="21">
        <v>99.4</v>
      </c>
      <c r="G32" s="21">
        <v>28.6</v>
      </c>
      <c r="H32" s="21">
        <v>128</v>
      </c>
      <c r="I32" s="20"/>
      <c r="J32" s="22">
        <v>56.8</v>
      </c>
      <c r="K32" s="9"/>
    </row>
    <row r="37" spans="1:6">
      <c r="A37" s="106" t="s">
        <v>39</v>
      </c>
      <c r="B37" s="106"/>
      <c r="C37" s="106"/>
      <c r="D37" s="106"/>
      <c r="E37" s="106"/>
    </row>
    <row r="38" spans="1:6" ht="28.8">
      <c r="A38" s="107" t="s">
        <v>40</v>
      </c>
      <c r="B38" s="108"/>
      <c r="C38" s="23" t="s">
        <v>41</v>
      </c>
      <c r="D38" s="24" t="s">
        <v>42</v>
      </c>
      <c r="E38" s="25" t="s">
        <v>43</v>
      </c>
      <c r="F38" t="s">
        <v>69</v>
      </c>
    </row>
    <row r="39" spans="1:6">
      <c r="A39" s="98" t="s">
        <v>44</v>
      </c>
      <c r="B39" s="99"/>
      <c r="C39" s="10">
        <v>0.1</v>
      </c>
      <c r="D39" s="10">
        <v>32</v>
      </c>
      <c r="E39" s="10">
        <v>3.2</v>
      </c>
    </row>
    <row r="40" spans="1:6">
      <c r="A40" s="98" t="s">
        <v>45</v>
      </c>
      <c r="B40" s="99"/>
      <c r="C40" s="10">
        <v>0.22500000000000001</v>
      </c>
      <c r="D40" s="10">
        <v>32</v>
      </c>
      <c r="E40" s="10">
        <v>7.2</v>
      </c>
    </row>
    <row r="41" spans="1:6">
      <c r="A41" s="98" t="s">
        <v>46</v>
      </c>
      <c r="B41" s="99"/>
      <c r="C41" s="10">
        <v>4.2999999999999997E-2</v>
      </c>
      <c r="D41" s="10">
        <v>18</v>
      </c>
      <c r="E41" s="10">
        <v>0.77</v>
      </c>
    </row>
    <row r="42" spans="1:6">
      <c r="A42" s="100" t="s">
        <v>47</v>
      </c>
      <c r="B42" s="101"/>
      <c r="C42" s="15"/>
      <c r="D42" s="15"/>
      <c r="E42" s="16">
        <v>0</v>
      </c>
    </row>
    <row r="43" spans="1:6">
      <c r="A43" s="100" t="s">
        <v>48</v>
      </c>
      <c r="B43" s="101"/>
      <c r="C43" s="15"/>
      <c r="D43" s="15"/>
      <c r="E43" s="16">
        <v>0</v>
      </c>
    </row>
    <row r="44" spans="1:6">
      <c r="A44" s="98" t="s">
        <v>49</v>
      </c>
      <c r="B44" s="99"/>
      <c r="C44" s="10">
        <v>0.51</v>
      </c>
      <c r="D44" s="10">
        <v>13</v>
      </c>
      <c r="E44" s="10">
        <v>6.63</v>
      </c>
    </row>
    <row r="45" spans="1:6">
      <c r="A45" s="14"/>
      <c r="B45" s="14"/>
      <c r="C45" s="14"/>
      <c r="D45" s="14"/>
      <c r="E45" s="10">
        <v>0</v>
      </c>
    </row>
    <row r="46" spans="1:6">
      <c r="A46" s="98" t="s">
        <v>50</v>
      </c>
      <c r="B46" s="99"/>
      <c r="C46" s="11">
        <v>0</v>
      </c>
      <c r="D46" s="10">
        <v>13</v>
      </c>
      <c r="E46" s="10">
        <v>0</v>
      </c>
    </row>
    <row r="47" spans="1:6">
      <c r="A47" s="14"/>
      <c r="B47" s="14"/>
      <c r="C47" s="14"/>
      <c r="D47" s="14"/>
      <c r="E47" s="10">
        <v>0</v>
      </c>
    </row>
    <row r="48" spans="1:6">
      <c r="A48" s="98" t="s">
        <v>51</v>
      </c>
      <c r="B48" s="99"/>
      <c r="C48" s="10">
        <v>0.01</v>
      </c>
      <c r="D48" s="10">
        <v>22</v>
      </c>
      <c r="E48" s="10">
        <v>0.22</v>
      </c>
    </row>
    <row r="49" spans="1:14">
      <c r="A49" s="14"/>
      <c r="B49" s="14"/>
      <c r="C49" s="14"/>
      <c r="D49" s="14"/>
      <c r="E49" s="10">
        <v>0</v>
      </c>
      <c r="F49">
        <f>H49/G49</f>
        <v>0.14270833333333333</v>
      </c>
      <c r="G49">
        <f>SUM(D44:D49)</f>
        <v>48</v>
      </c>
      <c r="H49">
        <f>SUMPRODUCT(C44:C49,D44:D49)</f>
        <v>6.85</v>
      </c>
      <c r="M49" t="s">
        <v>49</v>
      </c>
      <c r="N49">
        <v>13</v>
      </c>
    </row>
    <row r="50" spans="1:14">
      <c r="A50" s="100" t="s">
        <v>52</v>
      </c>
      <c r="B50" s="101"/>
      <c r="C50" s="15"/>
      <c r="D50" s="15"/>
      <c r="E50" s="16">
        <v>0</v>
      </c>
      <c r="M50" t="s">
        <v>280</v>
      </c>
      <c r="N50">
        <v>13</v>
      </c>
    </row>
    <row r="51" spans="1:14">
      <c r="A51" s="100" t="s">
        <v>53</v>
      </c>
      <c r="B51" s="101"/>
      <c r="C51" s="26"/>
      <c r="D51" s="26"/>
      <c r="E51" s="16">
        <v>0</v>
      </c>
      <c r="M51" t="s">
        <v>51</v>
      </c>
      <c r="N51">
        <v>11</v>
      </c>
    </row>
    <row r="52" spans="1:14">
      <c r="A52" s="9"/>
      <c r="B52" s="9"/>
      <c r="C52" s="9"/>
      <c r="D52" s="9"/>
      <c r="E52" s="9"/>
      <c r="N52">
        <f>SUM(N49:N51)</f>
        <v>37</v>
      </c>
    </row>
    <row r="53" spans="1:14" ht="14.4" customHeight="1">
      <c r="A53" s="102" t="s">
        <v>38</v>
      </c>
      <c r="B53" s="102"/>
      <c r="C53" s="102"/>
      <c r="D53" s="35">
        <f>SUM(D39:D49)</f>
        <v>130</v>
      </c>
      <c r="E53" s="35">
        <f>SUM(E39:E49)</f>
        <v>18.02</v>
      </c>
    </row>
    <row r="58" spans="1:14">
      <c r="A58" s="103" t="s">
        <v>64</v>
      </c>
      <c r="B58" s="103"/>
      <c r="C58" s="103"/>
      <c r="D58" s="103"/>
    </row>
    <row r="59" spans="1:14">
      <c r="A59" s="103"/>
      <c r="B59" s="103"/>
      <c r="C59" s="103"/>
      <c r="D59" s="103"/>
    </row>
    <row r="60" spans="1:14">
      <c r="A60" s="90" t="s">
        <v>57</v>
      </c>
      <c r="B60" s="90"/>
      <c r="C60" s="90"/>
      <c r="D60" s="90"/>
    </row>
    <row r="61" spans="1:14">
      <c r="A61" s="91" t="s">
        <v>65</v>
      </c>
      <c r="B61" s="92"/>
      <c r="C61" s="93"/>
      <c r="D61" s="27"/>
    </row>
    <row r="62" spans="1:14">
      <c r="A62" s="94" t="s">
        <v>66</v>
      </c>
      <c r="B62" s="95"/>
      <c r="C62" s="96"/>
      <c r="D62" s="27"/>
    </row>
    <row r="63" spans="1:14">
      <c r="A63" s="27"/>
      <c r="B63" s="27"/>
      <c r="C63" s="27"/>
      <c r="D63" s="27"/>
    </row>
    <row r="64" spans="1:14">
      <c r="A64" s="28" t="s">
        <v>58</v>
      </c>
      <c r="B64" s="97" t="s">
        <v>59</v>
      </c>
      <c r="C64" s="97"/>
      <c r="D64" s="9"/>
    </row>
    <row r="65" spans="1:4" ht="38.4">
      <c r="A65" s="29" t="s">
        <v>60</v>
      </c>
      <c r="B65" s="30" t="s">
        <v>61</v>
      </c>
      <c r="C65" s="31" t="s">
        <v>62</v>
      </c>
      <c r="D65" s="8"/>
    </row>
    <row r="66" spans="1:4" ht="45">
      <c r="A66" s="32" t="s">
        <v>67</v>
      </c>
      <c r="B66" s="33" t="s">
        <v>68</v>
      </c>
      <c r="C66" s="34" t="s">
        <v>63</v>
      </c>
      <c r="D66" s="8"/>
    </row>
  </sheetData>
  <mergeCells count="27">
    <mergeCell ref="A19:K19"/>
    <mergeCell ref="A2:K2"/>
    <mergeCell ref="A3:J3"/>
    <mergeCell ref="A4:K4"/>
    <mergeCell ref="A18:E18"/>
    <mergeCell ref="F18:H18"/>
    <mergeCell ref="A46:B46"/>
    <mergeCell ref="A30:E30"/>
    <mergeCell ref="A31:E31"/>
    <mergeCell ref="A32:E32"/>
    <mergeCell ref="A37:E37"/>
    <mergeCell ref="A38:B38"/>
    <mergeCell ref="A39:B39"/>
    <mergeCell ref="A40:B40"/>
    <mergeCell ref="A41:B41"/>
    <mergeCell ref="A42:B42"/>
    <mergeCell ref="A43:B43"/>
    <mergeCell ref="A44:B44"/>
    <mergeCell ref="A60:D60"/>
    <mergeCell ref="A61:C61"/>
    <mergeCell ref="A62:C62"/>
    <mergeCell ref="B64:C64"/>
    <mergeCell ref="A48:B48"/>
    <mergeCell ref="A50:B50"/>
    <mergeCell ref="A51:B51"/>
    <mergeCell ref="A53:C53"/>
    <mergeCell ref="A58:D59"/>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922116-628B-46C3-B3AC-79D95B6BAC08}">
  <dimension ref="A1:I22"/>
  <sheetViews>
    <sheetView tabSelected="1" workbookViewId="0">
      <selection activeCell="C10" sqref="C10"/>
    </sheetView>
  </sheetViews>
  <sheetFormatPr defaultRowHeight="14.4"/>
  <cols>
    <col min="1" max="1" width="31.6640625" bestFit="1" customWidth="1"/>
  </cols>
  <sheetData>
    <row r="1" spans="1:9">
      <c r="B1" t="s">
        <v>300</v>
      </c>
      <c r="E1" t="s">
        <v>306</v>
      </c>
      <c r="G1" t="s">
        <v>305</v>
      </c>
      <c r="I1" t="s">
        <v>303</v>
      </c>
    </row>
    <row r="2" spans="1:9">
      <c r="A2" t="s">
        <v>302</v>
      </c>
      <c r="B2" t="s">
        <v>301</v>
      </c>
      <c r="D2" t="s">
        <v>304</v>
      </c>
      <c r="E2" t="s">
        <v>301</v>
      </c>
      <c r="F2" t="s">
        <v>304</v>
      </c>
    </row>
    <row r="3" spans="1:9">
      <c r="A3" t="s">
        <v>281</v>
      </c>
      <c r="B3">
        <v>18</v>
      </c>
      <c r="C3" s="123">
        <f>4*4+0.5*4</f>
        <v>18</v>
      </c>
      <c r="D3">
        <v>7.4</v>
      </c>
      <c r="G3">
        <v>18</v>
      </c>
      <c r="H3" s="125">
        <f>G3-B3</f>
        <v>0</v>
      </c>
    </row>
    <row r="4" spans="1:9">
      <c r="A4" t="s">
        <v>282</v>
      </c>
      <c r="B4">
        <v>0</v>
      </c>
      <c r="D4">
        <v>0</v>
      </c>
      <c r="G4">
        <v>0</v>
      </c>
      <c r="H4">
        <f>G4-B4</f>
        <v>0</v>
      </c>
    </row>
    <row r="5" spans="1:9">
      <c r="A5" t="s">
        <v>283</v>
      </c>
      <c r="B5">
        <v>59.712814000000002</v>
      </c>
      <c r="C5" s="123">
        <f>4*4*SQRT(3)+8*4</f>
        <v>59.712812921102035</v>
      </c>
      <c r="D5">
        <v>94.199341000000004</v>
      </c>
      <c r="G5">
        <v>55.712814000000002</v>
      </c>
      <c r="H5">
        <f>G5-B5</f>
        <v>-4</v>
      </c>
    </row>
    <row r="6" spans="1:9">
      <c r="A6" t="s">
        <v>284</v>
      </c>
      <c r="B6">
        <v>0</v>
      </c>
      <c r="D6">
        <v>0</v>
      </c>
      <c r="G6">
        <v>0</v>
      </c>
      <c r="H6">
        <f>G6-B6</f>
        <v>0</v>
      </c>
    </row>
    <row r="7" spans="1:9">
      <c r="A7" t="s">
        <v>285</v>
      </c>
      <c r="B7">
        <v>51</v>
      </c>
      <c r="D7">
        <v>19</v>
      </c>
      <c r="G7">
        <v>47</v>
      </c>
      <c r="H7" s="124">
        <f>G7-B7</f>
        <v>-4</v>
      </c>
    </row>
    <row r="8" spans="1:9">
      <c r="A8" t="s">
        <v>286</v>
      </c>
      <c r="B8">
        <v>0</v>
      </c>
      <c r="D8">
        <v>0</v>
      </c>
      <c r="G8">
        <v>0</v>
      </c>
      <c r="H8">
        <f>G8-B8</f>
        <v>0</v>
      </c>
    </row>
    <row r="9" spans="1:9">
      <c r="A9" t="s">
        <v>287</v>
      </c>
      <c r="B9">
        <v>0</v>
      </c>
      <c r="D9">
        <v>0</v>
      </c>
      <c r="G9">
        <v>0</v>
      </c>
      <c r="H9">
        <f>G9-B9</f>
        <v>0</v>
      </c>
    </row>
    <row r="10" spans="1:9">
      <c r="A10" t="s">
        <v>288</v>
      </c>
      <c r="B10">
        <v>30.600002</v>
      </c>
      <c r="C10">
        <f>0.25*4*5+2.2*2*5</f>
        <v>27</v>
      </c>
      <c r="D10">
        <v>21.800001000000002</v>
      </c>
      <c r="G10">
        <v>54.600002000000003</v>
      </c>
      <c r="H10" s="125">
        <f>G10-B10</f>
        <v>24.000000000000004</v>
      </c>
      <c r="I10">
        <v>4</v>
      </c>
    </row>
    <row r="11" spans="1:9">
      <c r="A11" t="s">
        <v>289</v>
      </c>
      <c r="B11">
        <v>36</v>
      </c>
      <c r="C11" s="123">
        <f>8*4.5</f>
        <v>36</v>
      </c>
      <c r="D11">
        <v>36</v>
      </c>
      <c r="G11">
        <v>36</v>
      </c>
      <c r="H11">
        <f>G11-B11</f>
        <v>0</v>
      </c>
    </row>
    <row r="12" spans="1:9">
      <c r="A12" t="s">
        <v>290</v>
      </c>
      <c r="B12">
        <v>0</v>
      </c>
      <c r="D12">
        <v>0</v>
      </c>
      <c r="G12">
        <v>0</v>
      </c>
      <c r="H12">
        <f>G12-B12</f>
        <v>0</v>
      </c>
    </row>
    <row r="13" spans="1:9">
      <c r="A13" t="s">
        <v>291</v>
      </c>
      <c r="B13">
        <v>0</v>
      </c>
      <c r="D13">
        <v>0</v>
      </c>
      <c r="G13">
        <v>0</v>
      </c>
      <c r="H13">
        <f>G13-B13</f>
        <v>0</v>
      </c>
    </row>
    <row r="14" spans="1:9">
      <c r="A14" t="s">
        <v>292</v>
      </c>
      <c r="B14">
        <v>0</v>
      </c>
      <c r="D14">
        <v>0</v>
      </c>
      <c r="G14">
        <v>0</v>
      </c>
      <c r="H14">
        <f>G14-B14</f>
        <v>0</v>
      </c>
    </row>
    <row r="15" spans="1:9">
      <c r="A15" t="s">
        <v>293</v>
      </c>
      <c r="B15">
        <v>0</v>
      </c>
      <c r="D15">
        <v>0</v>
      </c>
      <c r="G15">
        <v>0</v>
      </c>
      <c r="H15">
        <f>G15-B15</f>
        <v>0</v>
      </c>
    </row>
    <row r="16" spans="1:9">
      <c r="A16" t="s">
        <v>294</v>
      </c>
      <c r="B16">
        <v>0</v>
      </c>
      <c r="D16">
        <v>0</v>
      </c>
      <c r="G16">
        <v>0</v>
      </c>
      <c r="H16">
        <f>G16-B16</f>
        <v>0</v>
      </c>
    </row>
    <row r="17" spans="1:8">
      <c r="A17" t="s">
        <v>295</v>
      </c>
      <c r="B17">
        <v>15.2</v>
      </c>
      <c r="D17">
        <v>23.6</v>
      </c>
      <c r="G17">
        <v>23.200001</v>
      </c>
      <c r="H17">
        <f>G17-B17</f>
        <v>8.000001000000001</v>
      </c>
    </row>
    <row r="18" spans="1:8">
      <c r="A18" t="s">
        <v>296</v>
      </c>
      <c r="B18">
        <v>0</v>
      </c>
      <c r="D18">
        <v>0</v>
      </c>
      <c r="G18">
        <v>0</v>
      </c>
      <c r="H18">
        <f>G18-B18</f>
        <v>0</v>
      </c>
    </row>
    <row r="19" spans="1:8">
      <c r="A19" t="s">
        <v>297</v>
      </c>
      <c r="B19">
        <v>13</v>
      </c>
      <c r="C19" s="123">
        <f>5+3+3+1+1</f>
        <v>13</v>
      </c>
      <c r="D19">
        <v>13</v>
      </c>
      <c r="G19">
        <v>21</v>
      </c>
      <c r="H19">
        <f>G19-B19</f>
        <v>8</v>
      </c>
    </row>
    <row r="20" spans="1:8">
      <c r="A20" t="s">
        <v>298</v>
      </c>
      <c r="B20">
        <v>22</v>
      </c>
      <c r="C20">
        <f>2.2*2*(1+1+1+1+1)</f>
        <v>22</v>
      </c>
      <c r="D20">
        <v>17.600000000000001</v>
      </c>
      <c r="G20">
        <v>42</v>
      </c>
      <c r="H20">
        <f>G20-B20</f>
        <v>20</v>
      </c>
    </row>
    <row r="21" spans="1:8">
      <c r="A21" t="s">
        <v>299</v>
      </c>
      <c r="B21">
        <v>13</v>
      </c>
      <c r="C21" s="123">
        <f>5+3+3+1+1</f>
        <v>13</v>
      </c>
      <c r="D21">
        <v>13</v>
      </c>
      <c r="G21">
        <v>21</v>
      </c>
      <c r="H21">
        <f>G21-B21</f>
        <v>8</v>
      </c>
    </row>
    <row r="22" spans="1:8">
      <c r="C22" s="123">
        <f>SUM(B18:B21)</f>
        <v>48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0D3DC5-1A29-4DF5-832F-531FBAC08DEC}">
  <sheetPr codeName="Sheet2"/>
  <dimension ref="A1:AC63"/>
  <sheetViews>
    <sheetView topLeftCell="A9" workbookViewId="0">
      <selection activeCell="B34" sqref="B34"/>
    </sheetView>
  </sheetViews>
  <sheetFormatPr defaultRowHeight="14.4"/>
  <cols>
    <col min="2" max="2" width="16.5546875" style="53" bestFit="1" customWidth="1"/>
    <col min="20" max="21" width="11.109375" style="45" bestFit="1" customWidth="1"/>
    <col min="22" max="23" width="10.109375" style="45" bestFit="1" customWidth="1"/>
    <col min="24" max="24" width="9.109375" style="45" bestFit="1" customWidth="1"/>
    <col min="25" max="25" width="9" style="48" customWidth="1"/>
    <col min="26" max="26" width="9.109375" style="48" customWidth="1"/>
    <col min="27" max="28" width="8.88671875" style="48"/>
  </cols>
  <sheetData>
    <row r="1" spans="1:29" ht="57.6">
      <c r="A1" s="36" t="s">
        <v>70</v>
      </c>
      <c r="B1" s="51" t="s">
        <v>71</v>
      </c>
      <c r="C1" s="37" t="s">
        <v>72</v>
      </c>
      <c r="D1" s="4" t="s">
        <v>73</v>
      </c>
      <c r="E1" s="4" t="s">
        <v>74</v>
      </c>
      <c r="F1" s="6" t="s">
        <v>75</v>
      </c>
      <c r="G1" s="37" t="s">
        <v>76</v>
      </c>
      <c r="H1" s="37" t="s">
        <v>88</v>
      </c>
      <c r="I1" s="37" t="s">
        <v>89</v>
      </c>
      <c r="J1" s="4" t="s">
        <v>77</v>
      </c>
      <c r="K1" s="38" t="s">
        <v>78</v>
      </c>
      <c r="L1" s="8" t="s">
        <v>92</v>
      </c>
      <c r="Q1" t="s">
        <v>99</v>
      </c>
    </row>
    <row r="2" spans="1:29">
      <c r="A2" s="113" t="s">
        <v>90</v>
      </c>
      <c r="B2" s="113"/>
      <c r="C2" s="113"/>
      <c r="D2" s="113"/>
      <c r="E2" s="113"/>
      <c r="F2" s="113"/>
      <c r="G2" s="113"/>
      <c r="H2" s="113"/>
      <c r="I2" s="113"/>
      <c r="J2" s="113"/>
      <c r="K2" s="113"/>
      <c r="L2" s="113"/>
    </row>
    <row r="3" spans="1:29" ht="58.2" thickBot="1">
      <c r="A3" s="114" t="s">
        <v>10</v>
      </c>
      <c r="B3" s="114"/>
      <c r="C3" s="114"/>
      <c r="D3" s="114"/>
      <c r="E3" s="114"/>
      <c r="F3" s="114"/>
      <c r="G3" s="114"/>
      <c r="H3" s="114"/>
      <c r="I3" s="114"/>
      <c r="J3" s="114"/>
      <c r="K3" s="39">
        <v>0</v>
      </c>
      <c r="L3" s="9"/>
      <c r="T3" s="46" t="s">
        <v>100</v>
      </c>
      <c r="U3" s="46" t="s">
        <v>101</v>
      </c>
      <c r="V3" s="46" t="s">
        <v>102</v>
      </c>
      <c r="W3" s="46" t="s">
        <v>103</v>
      </c>
      <c r="X3" s="46" t="s">
        <v>104</v>
      </c>
      <c r="Y3" s="55" t="s">
        <v>105</v>
      </c>
      <c r="Z3" s="55" t="s">
        <v>106</v>
      </c>
      <c r="AA3" s="55" t="s">
        <v>107</v>
      </c>
      <c r="AB3" s="55" t="s">
        <v>108</v>
      </c>
      <c r="AC3" s="54"/>
    </row>
    <row r="4" spans="1:29" ht="15.6" thickTop="1" thickBot="1">
      <c r="A4" s="115" t="s">
        <v>11</v>
      </c>
      <c r="B4" s="115"/>
      <c r="C4" s="115"/>
      <c r="D4" s="115"/>
      <c r="E4" s="115"/>
      <c r="F4" s="115"/>
      <c r="G4" s="115"/>
      <c r="H4" s="115"/>
      <c r="I4" s="115"/>
      <c r="J4" s="115"/>
      <c r="K4" s="115"/>
      <c r="L4" s="115"/>
      <c r="Q4" t="s">
        <v>94</v>
      </c>
      <c r="R4">
        <v>180</v>
      </c>
      <c r="S4">
        <v>11</v>
      </c>
      <c r="T4" s="45">
        <v>83033.734375</v>
      </c>
      <c r="U4" s="45">
        <v>82091.632811999996</v>
      </c>
      <c r="V4" s="45">
        <v>47998.242187999997</v>
      </c>
      <c r="W4" s="45">
        <v>47998.242187999997</v>
      </c>
      <c r="X4" s="45">
        <v>1799.934082</v>
      </c>
      <c r="Y4" s="49">
        <f>U4/T4</f>
        <v>0.98865399021143319</v>
      </c>
      <c r="Z4" s="49">
        <f>V4/U4</f>
        <v>0.58469104029057284</v>
      </c>
      <c r="AA4" s="49">
        <f>W4/V4</f>
        <v>1</v>
      </c>
      <c r="AB4" s="49">
        <f>X4/W4</f>
        <v>3.7499999998958297E-2</v>
      </c>
      <c r="AC4" s="47">
        <f>0.05*0.75</f>
        <v>3.7500000000000006E-2</v>
      </c>
    </row>
    <row r="5" spans="1:29" ht="15.6" thickTop="1" thickBot="1">
      <c r="A5" s="40" t="s">
        <v>14</v>
      </c>
      <c r="B5" s="52" t="s">
        <v>79</v>
      </c>
      <c r="C5" s="41" t="s">
        <v>80</v>
      </c>
      <c r="D5" s="41">
        <v>6.6</v>
      </c>
      <c r="E5" s="41">
        <v>0.25</v>
      </c>
      <c r="F5" s="41">
        <v>56.67</v>
      </c>
      <c r="G5" s="41">
        <v>0.61</v>
      </c>
      <c r="H5" s="41">
        <v>0.05</v>
      </c>
      <c r="I5" s="41">
        <v>0.83</v>
      </c>
      <c r="J5" s="41">
        <v>1.76</v>
      </c>
      <c r="K5" s="41">
        <v>11.64</v>
      </c>
      <c r="L5" s="43">
        <v>0.76</v>
      </c>
      <c r="M5" s="44">
        <f>L5/I5</f>
        <v>0.9156626506024097</v>
      </c>
      <c r="N5" t="s">
        <v>93</v>
      </c>
      <c r="Q5" t="s">
        <v>95</v>
      </c>
      <c r="R5">
        <v>90</v>
      </c>
      <c r="S5">
        <v>6.6</v>
      </c>
      <c r="T5" s="45">
        <v>101231.226562</v>
      </c>
      <c r="U5" s="45">
        <v>101152.929688</v>
      </c>
      <c r="V5" s="45">
        <v>76249.914061999996</v>
      </c>
      <c r="W5" s="45">
        <v>76249.914061999996</v>
      </c>
      <c r="X5" s="45">
        <v>2859.3725589999999</v>
      </c>
      <c r="Y5" s="49">
        <f t="shared" ref="Y5:Y8" si="0">U5/T5</f>
        <v>0.99922655413098216</v>
      </c>
      <c r="Z5" s="49">
        <f t="shared" ref="Z5:Z8" si="1">V5/U5</f>
        <v>0.75380826138390822</v>
      </c>
      <c r="AA5" s="49">
        <f t="shared" ref="AA5:AA8" si="2">W5/V5</f>
        <v>1</v>
      </c>
      <c r="AB5" s="49">
        <f t="shared" ref="AB5:AB8" si="3">X5/W5</f>
        <v>3.7500010251486963E-2</v>
      </c>
      <c r="AC5" s="47">
        <f t="shared" ref="AC5:AC8" si="4">0.05*0.75</f>
        <v>3.7500000000000006E-2</v>
      </c>
    </row>
    <row r="6" spans="1:29" ht="15.6" thickTop="1" thickBot="1">
      <c r="A6" s="40" t="s">
        <v>17</v>
      </c>
      <c r="B6" s="52" t="s">
        <v>81</v>
      </c>
      <c r="C6" s="41" t="s">
        <v>82</v>
      </c>
      <c r="D6" s="41">
        <v>6.6</v>
      </c>
      <c r="E6" s="41">
        <v>0.25</v>
      </c>
      <c r="F6" s="41">
        <v>114.88</v>
      </c>
      <c r="G6" s="41">
        <v>0.61</v>
      </c>
      <c r="H6" s="41">
        <v>0.05</v>
      </c>
      <c r="I6" s="41">
        <v>0.84</v>
      </c>
      <c r="J6" s="41">
        <v>3.62</v>
      </c>
      <c r="K6" s="41">
        <v>23.88</v>
      </c>
      <c r="L6" s="43">
        <v>0.75</v>
      </c>
      <c r="M6" s="44">
        <f>L6/I6</f>
        <v>0.8928571428571429</v>
      </c>
      <c r="Q6" t="s">
        <v>96</v>
      </c>
      <c r="R6">
        <v>0</v>
      </c>
      <c r="S6">
        <v>6.6</v>
      </c>
      <c r="T6" s="45">
        <v>60244.039062000003</v>
      </c>
      <c r="U6" s="45">
        <v>59161.492187999997</v>
      </c>
      <c r="V6" s="45">
        <v>45646.957030999998</v>
      </c>
      <c r="W6" s="45">
        <v>45646.957030999998</v>
      </c>
      <c r="X6" s="45">
        <v>1711.7612300000001</v>
      </c>
      <c r="Y6" s="49">
        <f t="shared" si="0"/>
        <v>0.98203063919924249</v>
      </c>
      <c r="Z6" s="49">
        <f t="shared" si="1"/>
        <v>0.77156534331395354</v>
      </c>
      <c r="AA6" s="49">
        <f t="shared" si="2"/>
        <v>1</v>
      </c>
      <c r="AB6" s="49">
        <f t="shared" si="3"/>
        <v>3.7500007477771186E-2</v>
      </c>
      <c r="AC6" s="47">
        <f t="shared" si="4"/>
        <v>3.7500000000000006E-2</v>
      </c>
    </row>
    <row r="7" spans="1:29" ht="15.6" thickTop="1" thickBot="1">
      <c r="A7" s="40" t="s">
        <v>19</v>
      </c>
      <c r="B7" s="52" t="s">
        <v>83</v>
      </c>
      <c r="C7" s="41" t="s">
        <v>84</v>
      </c>
      <c r="D7" s="41">
        <v>11</v>
      </c>
      <c r="E7" s="41">
        <v>0.25</v>
      </c>
      <c r="F7" s="41">
        <v>82.09</v>
      </c>
      <c r="G7" s="41">
        <v>0.42</v>
      </c>
      <c r="H7" s="41">
        <v>0.05</v>
      </c>
      <c r="I7" s="41">
        <v>0.56000000000000005</v>
      </c>
      <c r="J7" s="41">
        <v>1.72</v>
      </c>
      <c r="K7" s="41">
        <v>18.96</v>
      </c>
      <c r="L7" s="9"/>
      <c r="Q7" t="s">
        <v>97</v>
      </c>
      <c r="R7">
        <v>270</v>
      </c>
      <c r="S7">
        <v>2.2000000000000002</v>
      </c>
      <c r="T7" s="45">
        <v>110897.351562</v>
      </c>
      <c r="U7" s="45">
        <v>110819.164062</v>
      </c>
      <c r="V7" s="45">
        <v>77502.5</v>
      </c>
      <c r="W7" s="45">
        <v>77502.5</v>
      </c>
      <c r="X7" s="45">
        <v>0</v>
      </c>
      <c r="Y7" s="49">
        <f t="shared" si="0"/>
        <v>0.9992949561112261</v>
      </c>
      <c r="Z7" s="49">
        <f t="shared" si="1"/>
        <v>0.69936008501778335</v>
      </c>
      <c r="AA7" s="49">
        <f t="shared" si="2"/>
        <v>1</v>
      </c>
      <c r="AB7" s="49">
        <f t="shared" si="3"/>
        <v>0</v>
      </c>
      <c r="AC7" s="47">
        <f t="shared" si="4"/>
        <v>3.7500000000000006E-2</v>
      </c>
    </row>
    <row r="8" spans="1:29" ht="15.6" thickTop="1" thickBot="1">
      <c r="A8" s="40" t="s">
        <v>21</v>
      </c>
      <c r="B8" s="52" t="s">
        <v>85</v>
      </c>
      <c r="C8" s="41" t="s">
        <v>86</v>
      </c>
      <c r="D8" s="41">
        <v>2.2000000000000002</v>
      </c>
      <c r="E8" s="41">
        <v>1</v>
      </c>
      <c r="F8" s="41">
        <v>106.71</v>
      </c>
      <c r="G8" s="41" t="s">
        <v>27</v>
      </c>
      <c r="H8" s="41">
        <v>0</v>
      </c>
      <c r="I8" s="41">
        <v>0.81</v>
      </c>
      <c r="J8" s="41">
        <v>0</v>
      </c>
      <c r="K8" s="41">
        <v>0</v>
      </c>
      <c r="L8" s="9"/>
      <c r="Q8" t="s">
        <v>98</v>
      </c>
      <c r="R8">
        <v>270</v>
      </c>
      <c r="S8">
        <v>2.2000000000000002</v>
      </c>
      <c r="T8" s="45">
        <v>110897.351562</v>
      </c>
      <c r="U8" s="45">
        <v>110819.164062</v>
      </c>
      <c r="V8" s="45">
        <v>77502.5</v>
      </c>
      <c r="W8" s="45">
        <v>77502.5</v>
      </c>
      <c r="X8" s="45">
        <v>2906.3447270000001</v>
      </c>
      <c r="Y8" s="49">
        <f t="shared" si="0"/>
        <v>0.9992949561112261</v>
      </c>
      <c r="Z8" s="49">
        <f t="shared" si="1"/>
        <v>0.69936008501778335</v>
      </c>
      <c r="AA8" s="49">
        <f t="shared" si="2"/>
        <v>1</v>
      </c>
      <c r="AB8" s="49">
        <f t="shared" si="3"/>
        <v>3.750001260604497E-2</v>
      </c>
      <c r="AC8" s="47">
        <f t="shared" si="4"/>
        <v>3.7500000000000006E-2</v>
      </c>
    </row>
    <row r="9" spans="1:29" ht="15" thickTop="1">
      <c r="A9" s="40" t="s">
        <v>23</v>
      </c>
      <c r="B9" s="52" t="s">
        <v>87</v>
      </c>
      <c r="C9" s="41" t="s">
        <v>86</v>
      </c>
      <c r="D9" s="41">
        <v>2.2000000000000002</v>
      </c>
      <c r="E9" s="41">
        <v>0.25</v>
      </c>
      <c r="F9" s="41">
        <v>106.71</v>
      </c>
      <c r="G9" s="41">
        <v>0.42</v>
      </c>
      <c r="H9" s="41">
        <v>0.05</v>
      </c>
      <c r="I9" s="41">
        <v>0.81</v>
      </c>
      <c r="J9" s="41">
        <v>3.24</v>
      </c>
      <c r="K9" s="41">
        <v>7.13</v>
      </c>
      <c r="L9" s="9">
        <v>0.7</v>
      </c>
      <c r="M9">
        <f>L9/I9</f>
        <v>0.86419753086419737</v>
      </c>
      <c r="X9" s="45">
        <f>SUM(X4:X8)</f>
        <v>9277.4125980000008</v>
      </c>
    </row>
    <row r="10" spans="1:29">
      <c r="A10" s="9"/>
      <c r="B10" s="50"/>
      <c r="C10" s="9"/>
      <c r="D10" s="9"/>
      <c r="E10" s="9"/>
      <c r="F10" s="9"/>
      <c r="G10" s="9"/>
      <c r="H10" s="9"/>
      <c r="I10" s="9"/>
      <c r="J10" s="9"/>
      <c r="K10" s="9"/>
      <c r="L10" s="9"/>
      <c r="Q10" t="s">
        <v>94</v>
      </c>
      <c r="R10">
        <v>180</v>
      </c>
      <c r="S10">
        <v>11</v>
      </c>
      <c r="T10" s="45">
        <v>83033.734375</v>
      </c>
      <c r="U10" s="45">
        <v>82091.632811999996</v>
      </c>
      <c r="V10" s="45">
        <v>47998.242187999997</v>
      </c>
      <c r="W10" s="45">
        <v>47998.242187999997</v>
      </c>
      <c r="X10" s="45">
        <v>1799.934082</v>
      </c>
    </row>
    <row r="11" spans="1:29">
      <c r="A11" s="114" t="s">
        <v>30</v>
      </c>
      <c r="B11" s="114"/>
      <c r="C11" s="114"/>
      <c r="D11" s="114"/>
      <c r="E11" s="114"/>
      <c r="F11" s="114"/>
      <c r="G11" s="114"/>
      <c r="H11" s="114"/>
      <c r="I11" s="114"/>
      <c r="J11" s="114"/>
      <c r="K11" s="39">
        <v>61.62</v>
      </c>
      <c r="L11" s="9"/>
      <c r="Q11" t="s">
        <v>95</v>
      </c>
      <c r="R11">
        <v>90</v>
      </c>
      <c r="S11">
        <v>6.6</v>
      </c>
      <c r="T11" s="45">
        <v>101231.226562</v>
      </c>
      <c r="U11" s="45">
        <v>101152.929688</v>
      </c>
      <c r="V11" s="45">
        <v>76249.914061999996</v>
      </c>
      <c r="W11" s="45">
        <v>76249.914061999996</v>
      </c>
      <c r="X11" s="45">
        <v>2859.3725589999999</v>
      </c>
    </row>
    <row r="12" spans="1:29">
      <c r="A12" s="116" t="s">
        <v>91</v>
      </c>
      <c r="B12" s="116"/>
      <c r="C12" s="116"/>
      <c r="D12" s="116"/>
      <c r="E12" s="116"/>
      <c r="F12" s="116"/>
      <c r="G12" s="116"/>
      <c r="H12" s="116"/>
      <c r="I12" s="116"/>
      <c r="J12" s="116"/>
      <c r="K12" s="116"/>
      <c r="L12" s="116"/>
      <c r="Q12" t="s">
        <v>96</v>
      </c>
      <c r="R12">
        <v>0</v>
      </c>
      <c r="S12">
        <v>6.6</v>
      </c>
      <c r="T12" s="45">
        <v>60244.039062000003</v>
      </c>
      <c r="U12" s="45">
        <v>59161.492187999997</v>
      </c>
      <c r="V12" s="45">
        <v>45646.957030999998</v>
      </c>
      <c r="W12" s="45">
        <v>45646.957030999998</v>
      </c>
      <c r="X12" s="45">
        <v>1711.7612300000001</v>
      </c>
    </row>
    <row r="13" spans="1:29">
      <c r="A13" s="114" t="s">
        <v>37</v>
      </c>
      <c r="B13" s="114"/>
      <c r="C13" s="114"/>
      <c r="D13" s="114"/>
      <c r="E13" s="114"/>
      <c r="F13" s="114"/>
      <c r="G13" s="114"/>
      <c r="H13" s="114"/>
      <c r="I13" s="114"/>
      <c r="J13" s="114"/>
      <c r="K13" s="39">
        <v>0</v>
      </c>
      <c r="L13" s="9"/>
      <c r="Q13" t="s">
        <v>97</v>
      </c>
      <c r="R13">
        <v>270</v>
      </c>
      <c r="S13">
        <v>2.2000000000000002</v>
      </c>
      <c r="T13" s="45">
        <v>110897.351562</v>
      </c>
      <c r="U13" s="45">
        <v>110819.164062</v>
      </c>
      <c r="V13" s="45">
        <v>77502.5</v>
      </c>
      <c r="W13" s="45">
        <v>77502.5</v>
      </c>
      <c r="X13" s="45">
        <v>0</v>
      </c>
    </row>
    <row r="14" spans="1:29">
      <c r="A14" s="9"/>
      <c r="B14" s="50"/>
      <c r="C14" s="9"/>
      <c r="D14" s="9"/>
      <c r="E14" s="9"/>
      <c r="F14" s="9"/>
      <c r="G14" s="9"/>
      <c r="H14" s="9"/>
      <c r="I14" s="9"/>
      <c r="J14" s="9"/>
      <c r="K14" s="9"/>
      <c r="L14" s="9"/>
      <c r="Q14" t="s">
        <v>98</v>
      </c>
      <c r="R14">
        <v>270</v>
      </c>
      <c r="S14">
        <v>2.2000000000000002</v>
      </c>
      <c r="T14" s="45">
        <v>110897.351562</v>
      </c>
      <c r="U14" s="45">
        <v>110819.164062</v>
      </c>
      <c r="V14" s="45">
        <v>77502.5</v>
      </c>
      <c r="W14" s="45">
        <v>77502.5</v>
      </c>
      <c r="X14" s="45">
        <v>2906.3447270000001</v>
      </c>
    </row>
    <row r="15" spans="1:29">
      <c r="A15" s="112" t="s">
        <v>38</v>
      </c>
      <c r="B15" s="112"/>
      <c r="C15" s="112"/>
      <c r="D15" s="112"/>
      <c r="E15" s="112"/>
      <c r="F15" s="112"/>
      <c r="G15" s="112"/>
      <c r="H15" s="112"/>
      <c r="I15" s="112"/>
      <c r="J15" s="112"/>
      <c r="K15" s="42">
        <v>61.62</v>
      </c>
      <c r="L15" s="27"/>
      <c r="X15" s="45">
        <f>SUM(X10:X14)</f>
        <v>9277.4125980000008</v>
      </c>
    </row>
    <row r="54" spans="1:28" s="87" customFormat="1">
      <c r="B54" s="88"/>
      <c r="C54" s="87" t="s">
        <v>204</v>
      </c>
      <c r="D54" s="87" t="s">
        <v>205</v>
      </c>
      <c r="E54" s="87" t="s">
        <v>206</v>
      </c>
      <c r="F54" s="87" t="s">
        <v>207</v>
      </c>
      <c r="G54" s="87" t="s">
        <v>208</v>
      </c>
      <c r="H54" s="87" t="s">
        <v>209</v>
      </c>
      <c r="I54" s="87" t="s">
        <v>210</v>
      </c>
      <c r="J54" s="87" t="s">
        <v>211</v>
      </c>
      <c r="K54" s="87" t="s">
        <v>212</v>
      </c>
      <c r="L54" s="87" t="s">
        <v>213</v>
      </c>
      <c r="M54" s="87" t="s">
        <v>214</v>
      </c>
      <c r="N54" s="87" t="s">
        <v>215</v>
      </c>
      <c r="O54" s="87" t="s">
        <v>204</v>
      </c>
      <c r="P54" s="87" t="s">
        <v>205</v>
      </c>
      <c r="T54" s="46"/>
      <c r="U54" s="46"/>
      <c r="V54" s="46"/>
      <c r="W54" s="46"/>
      <c r="X54" s="46"/>
      <c r="Y54" s="89"/>
      <c r="Z54" s="89"/>
      <c r="AA54" s="89"/>
      <c r="AB54" s="89"/>
    </row>
    <row r="55" spans="1:28">
      <c r="A55" s="87" t="s">
        <v>269</v>
      </c>
      <c r="B55" s="87" t="s">
        <v>270</v>
      </c>
      <c r="C55">
        <v>0.48</v>
      </c>
      <c r="D55">
        <v>0.64</v>
      </c>
      <c r="E55">
        <v>0.76</v>
      </c>
      <c r="F55">
        <v>0.82</v>
      </c>
      <c r="G55">
        <v>0.84</v>
      </c>
      <c r="H55" s="56">
        <v>0.85</v>
      </c>
      <c r="I55" s="56">
        <v>0.86</v>
      </c>
      <c r="J55" s="56">
        <v>0.88</v>
      </c>
      <c r="K55" s="56">
        <v>0.8</v>
      </c>
      <c r="L55">
        <v>0.73</v>
      </c>
      <c r="M55">
        <v>0.56000000000000005</v>
      </c>
      <c r="N55">
        <v>0.4</v>
      </c>
      <c r="O55">
        <v>0.85</v>
      </c>
      <c r="P55">
        <v>0.65</v>
      </c>
      <c r="Q55">
        <f>AVERAGE(H55:K55)</f>
        <v>0.84749999999999992</v>
      </c>
    </row>
    <row r="56" spans="1:28">
      <c r="A56" s="87" t="s">
        <v>271</v>
      </c>
      <c r="B56" s="87" t="s">
        <v>270</v>
      </c>
      <c r="C56">
        <v>0</v>
      </c>
      <c r="D56">
        <v>0</v>
      </c>
      <c r="E56">
        <v>0.11</v>
      </c>
      <c r="F56">
        <v>0.34</v>
      </c>
      <c r="G56">
        <v>0.45</v>
      </c>
      <c r="H56" s="56">
        <v>0.47</v>
      </c>
      <c r="I56" s="56">
        <v>0.5</v>
      </c>
      <c r="J56" s="56">
        <v>0.45</v>
      </c>
      <c r="K56" s="56">
        <v>0.23</v>
      </c>
      <c r="L56">
        <v>0.01</v>
      </c>
      <c r="M56">
        <v>0</v>
      </c>
      <c r="N56">
        <v>0</v>
      </c>
      <c r="O56">
        <v>0.41</v>
      </c>
      <c r="P56">
        <v>0.11</v>
      </c>
      <c r="Q56">
        <f t="shared" ref="Q56:Q63" si="5">AVERAGE(H56:K56)</f>
        <v>0.41249999999999998</v>
      </c>
    </row>
    <row r="57" spans="1:28">
      <c r="A57" s="87" t="s">
        <v>272</v>
      </c>
      <c r="B57" s="87" t="s">
        <v>270</v>
      </c>
      <c r="C57">
        <v>0.48</v>
      </c>
      <c r="D57">
        <v>0.47</v>
      </c>
      <c r="E57">
        <v>0.54</v>
      </c>
      <c r="F57">
        <v>0.61</v>
      </c>
      <c r="G57">
        <v>0.61</v>
      </c>
      <c r="H57" s="56">
        <v>0.6</v>
      </c>
      <c r="I57" s="56">
        <v>0.65</v>
      </c>
      <c r="J57" s="56">
        <v>0.67</v>
      </c>
      <c r="K57" s="56">
        <v>0.57999999999999996</v>
      </c>
      <c r="L57">
        <v>0.55000000000000004</v>
      </c>
      <c r="M57">
        <v>0.48</v>
      </c>
      <c r="N57">
        <v>0.49</v>
      </c>
      <c r="O57">
        <v>0.63</v>
      </c>
      <c r="P57">
        <v>0.53</v>
      </c>
      <c r="Q57">
        <f t="shared" si="5"/>
        <v>0.625</v>
      </c>
    </row>
    <row r="58" spans="1:28">
      <c r="A58" s="87" t="s">
        <v>273</v>
      </c>
      <c r="B58" s="87" t="s">
        <v>270</v>
      </c>
      <c r="C58">
        <v>0.76</v>
      </c>
      <c r="D58">
        <v>0.73</v>
      </c>
      <c r="E58">
        <v>0.73</v>
      </c>
      <c r="F58">
        <v>0.68</v>
      </c>
      <c r="G58">
        <v>0.64</v>
      </c>
      <c r="H58" s="56">
        <v>0.56999999999999995</v>
      </c>
      <c r="I58" s="56">
        <v>0.64</v>
      </c>
      <c r="J58" s="56">
        <v>0.75</v>
      </c>
      <c r="K58" s="56">
        <v>0.72</v>
      </c>
      <c r="L58">
        <v>0.79</v>
      </c>
      <c r="M58">
        <v>0.74</v>
      </c>
      <c r="N58">
        <v>0.78</v>
      </c>
      <c r="O58">
        <v>0.67</v>
      </c>
      <c r="P58">
        <v>0.73</v>
      </c>
      <c r="Q58">
        <f t="shared" si="5"/>
        <v>0.66999999999999993</v>
      </c>
    </row>
    <row r="59" spans="1:28">
      <c r="A59" s="87" t="s">
        <v>274</v>
      </c>
      <c r="B59" s="87" t="s">
        <v>270</v>
      </c>
      <c r="C59">
        <v>0.8</v>
      </c>
      <c r="D59">
        <v>0.78</v>
      </c>
      <c r="E59">
        <v>0.78</v>
      </c>
      <c r="F59">
        <v>0.67</v>
      </c>
      <c r="G59">
        <v>0.56999999999999995</v>
      </c>
      <c r="H59" s="56">
        <v>0.46</v>
      </c>
      <c r="I59" s="56">
        <v>0.56999999999999995</v>
      </c>
      <c r="J59" s="56">
        <v>0.69</v>
      </c>
      <c r="K59" s="56">
        <v>0.74</v>
      </c>
      <c r="L59">
        <v>0.81</v>
      </c>
      <c r="M59">
        <v>0.81</v>
      </c>
      <c r="N59">
        <v>0.84</v>
      </c>
      <c r="O59">
        <v>0.62</v>
      </c>
      <c r="P59">
        <v>0.76</v>
      </c>
      <c r="Q59">
        <f t="shared" si="5"/>
        <v>0.61499999999999999</v>
      </c>
    </row>
    <row r="60" spans="1:28">
      <c r="A60" s="87" t="s">
        <v>275</v>
      </c>
      <c r="B60" s="87" t="s">
        <v>270</v>
      </c>
      <c r="C60">
        <v>0.75</v>
      </c>
      <c r="D60">
        <v>0.76</v>
      </c>
      <c r="E60">
        <v>0.76</v>
      </c>
      <c r="F60">
        <v>0.68</v>
      </c>
      <c r="G60">
        <v>0.65</v>
      </c>
      <c r="H60" s="56">
        <v>0.56999999999999995</v>
      </c>
      <c r="I60" s="56">
        <v>0.62</v>
      </c>
      <c r="J60" s="56">
        <v>0.73</v>
      </c>
      <c r="K60" s="56">
        <v>0.7</v>
      </c>
      <c r="L60">
        <v>0.79</v>
      </c>
      <c r="M60">
        <v>0.76</v>
      </c>
      <c r="N60">
        <v>0.71</v>
      </c>
      <c r="O60">
        <v>0.66</v>
      </c>
      <c r="P60">
        <v>0.73</v>
      </c>
      <c r="Q60">
        <f t="shared" si="5"/>
        <v>0.65500000000000003</v>
      </c>
    </row>
    <row r="61" spans="1:28">
      <c r="A61" s="87" t="s">
        <v>276</v>
      </c>
      <c r="B61" s="87" t="s">
        <v>270</v>
      </c>
      <c r="C61">
        <v>0.47</v>
      </c>
      <c r="D61">
        <v>0.52</v>
      </c>
      <c r="E61">
        <v>0.61</v>
      </c>
      <c r="F61">
        <v>0.59</v>
      </c>
      <c r="G61">
        <v>0.63</v>
      </c>
      <c r="H61" s="56">
        <v>0.64</v>
      </c>
      <c r="I61" s="56">
        <v>0.6</v>
      </c>
      <c r="J61" s="56">
        <v>0.63</v>
      </c>
      <c r="K61" s="56">
        <v>0.56000000000000005</v>
      </c>
      <c r="L61">
        <v>0.57999999999999996</v>
      </c>
      <c r="M61">
        <v>0.46</v>
      </c>
      <c r="N61">
        <v>0.38</v>
      </c>
      <c r="O61">
        <v>0.61</v>
      </c>
      <c r="P61">
        <v>0.53</v>
      </c>
      <c r="Q61">
        <f t="shared" si="5"/>
        <v>0.60750000000000004</v>
      </c>
    </row>
    <row r="62" spans="1:28">
      <c r="A62" s="87" t="s">
        <v>277</v>
      </c>
      <c r="B62" s="87" t="s">
        <v>270</v>
      </c>
      <c r="C62">
        <v>0</v>
      </c>
      <c r="D62">
        <v>0.03</v>
      </c>
      <c r="E62">
        <v>0.17</v>
      </c>
      <c r="F62">
        <v>0.31</v>
      </c>
      <c r="G62">
        <v>0.45</v>
      </c>
      <c r="H62" s="56">
        <v>0.49</v>
      </c>
      <c r="I62" s="56">
        <v>0.45</v>
      </c>
      <c r="J62" s="56">
        <v>0.4</v>
      </c>
      <c r="K62" s="56">
        <v>0.2</v>
      </c>
      <c r="L62">
        <v>0.03</v>
      </c>
      <c r="M62">
        <v>0</v>
      </c>
      <c r="N62">
        <v>0</v>
      </c>
      <c r="O62">
        <v>0.39</v>
      </c>
      <c r="P62">
        <v>0.12</v>
      </c>
      <c r="Q62">
        <f t="shared" si="5"/>
        <v>0.38499999999999995</v>
      </c>
    </row>
    <row r="63" spans="1:28">
      <c r="A63" s="87" t="s">
        <v>278</v>
      </c>
      <c r="B63" s="87" t="s">
        <v>270</v>
      </c>
      <c r="C63">
        <v>0</v>
      </c>
      <c r="D63">
        <v>0</v>
      </c>
      <c r="E63">
        <v>0</v>
      </c>
      <c r="F63">
        <v>0</v>
      </c>
      <c r="G63">
        <v>0</v>
      </c>
      <c r="H63" s="56">
        <v>0</v>
      </c>
      <c r="I63" s="56">
        <v>0</v>
      </c>
      <c r="J63" s="56">
        <v>0</v>
      </c>
      <c r="K63" s="56">
        <v>0</v>
      </c>
      <c r="L63">
        <v>0</v>
      </c>
      <c r="M63">
        <v>0</v>
      </c>
      <c r="N63">
        <v>0</v>
      </c>
      <c r="O63">
        <v>0</v>
      </c>
      <c r="P63">
        <v>0</v>
      </c>
      <c r="Q63">
        <f t="shared" si="5"/>
        <v>0</v>
      </c>
    </row>
  </sheetData>
  <mergeCells count="7">
    <mergeCell ref="A15:J15"/>
    <mergeCell ref="A2:L2"/>
    <mergeCell ref="A3:J3"/>
    <mergeCell ref="A4:L4"/>
    <mergeCell ref="A11:J11"/>
    <mergeCell ref="A12:L12"/>
    <mergeCell ref="A13:J13"/>
  </mergeCells>
  <phoneticPr fontId="30" type="noConversion"/>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3BA6C5-FE63-47CA-B280-18BC2E4386B8}">
  <dimension ref="L11"/>
  <sheetViews>
    <sheetView workbookViewId="0">
      <selection activeCell="N3" sqref="N3"/>
    </sheetView>
  </sheetViews>
  <sheetFormatPr defaultRowHeight="14.4"/>
  <sheetData>
    <row r="11" spans="12:12">
      <c r="L11">
        <f>4480/64</f>
        <v>70</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1B6139-FE75-4669-BCBD-814DDE09EA9E}">
  <dimension ref="K3:V41"/>
  <sheetViews>
    <sheetView workbookViewId="0">
      <selection activeCell="M23" sqref="M23"/>
    </sheetView>
  </sheetViews>
  <sheetFormatPr defaultRowHeight="14.4"/>
  <sheetData>
    <row r="3" spans="11:22" ht="48">
      <c r="K3" t="s">
        <v>268</v>
      </c>
      <c r="M3" s="71" t="s">
        <v>221</v>
      </c>
      <c r="N3" s="72" t="s">
        <v>222</v>
      </c>
      <c r="O3" s="73" t="s">
        <v>223</v>
      </c>
      <c r="P3" s="74" t="s">
        <v>224</v>
      </c>
      <c r="Q3" s="75" t="s">
        <v>225</v>
      </c>
      <c r="R3" s="74" t="s">
        <v>226</v>
      </c>
      <c r="S3" s="74" t="s">
        <v>227</v>
      </c>
      <c r="T3" s="74" t="s">
        <v>228</v>
      </c>
      <c r="U3" s="74" t="s">
        <v>229</v>
      </c>
      <c r="V3" s="8"/>
    </row>
    <row r="4" spans="11:22">
      <c r="M4" s="9"/>
      <c r="N4" s="9"/>
      <c r="O4" s="9"/>
      <c r="P4" s="9"/>
      <c r="Q4" s="9"/>
      <c r="R4" s="9"/>
      <c r="S4" s="9"/>
      <c r="T4" s="9"/>
      <c r="U4" s="9"/>
      <c r="V4" s="9"/>
    </row>
    <row r="5" spans="11:22">
      <c r="M5" s="117" t="s">
        <v>230</v>
      </c>
      <c r="N5" s="76" t="s">
        <v>231</v>
      </c>
      <c r="O5" s="119" t="s">
        <v>232</v>
      </c>
      <c r="P5" s="77" t="s">
        <v>233</v>
      </c>
      <c r="Q5" s="78">
        <v>1113</v>
      </c>
      <c r="R5" s="77" t="s">
        <v>234</v>
      </c>
      <c r="S5" s="77" t="s">
        <v>235</v>
      </c>
      <c r="T5" s="77" t="s">
        <v>236</v>
      </c>
      <c r="U5" s="77" t="s">
        <v>237</v>
      </c>
      <c r="V5" s="9"/>
    </row>
    <row r="6" spans="11:22" ht="15.6">
      <c r="M6" s="118"/>
      <c r="N6" s="76" t="s">
        <v>238</v>
      </c>
      <c r="O6" s="120"/>
      <c r="P6" s="77" t="s">
        <v>239</v>
      </c>
      <c r="Q6" s="78">
        <v>1195</v>
      </c>
      <c r="R6" s="77" t="s">
        <v>240</v>
      </c>
      <c r="S6" s="77" t="s">
        <v>241</v>
      </c>
      <c r="T6" s="77" t="s">
        <v>240</v>
      </c>
      <c r="U6" s="77" t="s">
        <v>242</v>
      </c>
      <c r="V6" s="9"/>
    </row>
    <row r="7" spans="11:22">
      <c r="M7" s="9"/>
      <c r="N7" s="9"/>
      <c r="O7" s="9"/>
      <c r="P7" s="9"/>
      <c r="Q7" s="9"/>
      <c r="R7" s="9"/>
      <c r="S7" s="9"/>
      <c r="T7" s="9"/>
      <c r="U7" s="9"/>
      <c r="V7" s="9"/>
    </row>
    <row r="8" spans="11:22" ht="15.6">
      <c r="M8" s="79" t="s">
        <v>243</v>
      </c>
      <c r="N8" s="80" t="s">
        <v>244</v>
      </c>
      <c r="O8" s="81" t="s">
        <v>245</v>
      </c>
      <c r="P8" s="81" t="s">
        <v>246</v>
      </c>
      <c r="Q8" s="82">
        <v>2368</v>
      </c>
      <c r="R8" s="81" t="s">
        <v>247</v>
      </c>
      <c r="S8" s="82">
        <v>1954</v>
      </c>
      <c r="T8" s="81" t="s">
        <v>248</v>
      </c>
      <c r="U8" s="81" t="s">
        <v>249</v>
      </c>
      <c r="V8" s="9"/>
    </row>
    <row r="9" spans="11:22">
      <c r="M9" s="9"/>
      <c r="N9" s="9"/>
      <c r="O9" s="9"/>
      <c r="P9" s="9"/>
      <c r="Q9" s="9"/>
      <c r="R9" s="9"/>
      <c r="S9" s="9"/>
      <c r="T9" s="9"/>
      <c r="U9" s="9"/>
      <c r="V9" s="9"/>
    </row>
    <row r="10" spans="11:22">
      <c r="M10" s="79" t="s">
        <v>250</v>
      </c>
      <c r="N10" s="80" t="s">
        <v>231</v>
      </c>
      <c r="O10" s="81" t="s">
        <v>251</v>
      </c>
      <c r="P10" s="81" t="s">
        <v>252</v>
      </c>
      <c r="Q10" s="82">
        <v>1113</v>
      </c>
      <c r="R10" s="81" t="s">
        <v>253</v>
      </c>
      <c r="S10" s="81" t="s">
        <v>235</v>
      </c>
      <c r="T10" s="81" t="s">
        <v>254</v>
      </c>
      <c r="U10" s="81" t="s">
        <v>255</v>
      </c>
      <c r="V10" s="9"/>
    </row>
    <row r="11" spans="11:22">
      <c r="M11" s="9"/>
      <c r="N11" s="9"/>
      <c r="O11" s="9"/>
      <c r="P11" s="9"/>
      <c r="Q11" s="9"/>
      <c r="R11" s="9"/>
      <c r="S11" s="9"/>
      <c r="T11" s="9"/>
      <c r="U11" s="9"/>
      <c r="V11" s="9"/>
    </row>
    <row r="12" spans="11:22" ht="15.6">
      <c r="M12" s="79" t="s">
        <v>256</v>
      </c>
      <c r="N12" s="80" t="s">
        <v>257</v>
      </c>
      <c r="O12" s="81" t="s">
        <v>27</v>
      </c>
      <c r="P12" s="81" t="s">
        <v>258</v>
      </c>
      <c r="Q12" s="82">
        <v>2368</v>
      </c>
      <c r="R12" s="81" t="s">
        <v>259</v>
      </c>
      <c r="S12" s="82">
        <v>1954</v>
      </c>
      <c r="T12" s="81" t="s">
        <v>260</v>
      </c>
      <c r="U12" s="81" t="s">
        <v>261</v>
      </c>
      <c r="V12" s="9"/>
    </row>
    <row r="13" spans="11:22">
      <c r="M13" s="9"/>
      <c r="N13" s="9"/>
      <c r="O13" s="9"/>
      <c r="P13" s="9"/>
      <c r="Q13" s="9"/>
      <c r="R13" s="9"/>
      <c r="S13" s="9"/>
      <c r="T13" s="9"/>
      <c r="U13" s="9"/>
      <c r="V13" s="9"/>
    </row>
    <row r="14" spans="11:22">
      <c r="M14" s="121" t="s">
        <v>262</v>
      </c>
      <c r="N14" s="121"/>
      <c r="O14" s="83"/>
      <c r="P14" s="84" t="s">
        <v>263</v>
      </c>
      <c r="Q14" s="83"/>
      <c r="R14" s="84" t="s">
        <v>264</v>
      </c>
      <c r="S14" s="83"/>
      <c r="T14" s="84" t="s">
        <v>265</v>
      </c>
      <c r="U14" s="85" t="s">
        <v>266</v>
      </c>
      <c r="V14" s="9"/>
    </row>
    <row r="15" spans="11:22">
      <c r="M15" s="122" t="s">
        <v>267</v>
      </c>
      <c r="N15" s="122"/>
      <c r="O15" s="122"/>
      <c r="P15" s="122"/>
      <c r="Q15" s="122"/>
      <c r="R15" s="122"/>
      <c r="S15" s="122"/>
      <c r="T15" s="122"/>
      <c r="U15" s="122"/>
      <c r="V15" s="122"/>
    </row>
    <row r="28" s="86" customFormat="1"/>
    <row r="29" customFormat="1"/>
    <row r="30" customFormat="1"/>
    <row r="31" customFormat="1"/>
    <row r="40" spans="14:16">
      <c r="N40" t="s">
        <v>279</v>
      </c>
    </row>
    <row r="41" spans="14:16">
      <c r="N41">
        <f>865</f>
        <v>865</v>
      </c>
      <c r="O41">
        <v>2.6</v>
      </c>
      <c r="P41">
        <f>N41*O41</f>
        <v>2249</v>
      </c>
    </row>
  </sheetData>
  <mergeCells count="4">
    <mergeCell ref="M5:M6"/>
    <mergeCell ref="O5:O6"/>
    <mergeCell ref="M14:N14"/>
    <mergeCell ref="M15:V1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126E01-88E5-4B52-986C-FB1E3001C3FA}">
  <dimension ref="A1:T14"/>
  <sheetViews>
    <sheetView topLeftCell="B1" workbookViewId="0">
      <selection activeCell="S21" sqref="S21"/>
    </sheetView>
  </sheetViews>
  <sheetFormatPr defaultRowHeight="14.4"/>
  <cols>
    <col min="1" max="7" width="10.5546875" bestFit="1" customWidth="1"/>
    <col min="8" max="14" width="11.5546875" bestFit="1" customWidth="1"/>
    <col min="15" max="15" width="11.5546875" customWidth="1"/>
    <col min="16" max="16" width="11.5546875" bestFit="1" customWidth="1"/>
    <col min="17" max="17" width="11.5546875" style="58" customWidth="1"/>
    <col min="18" max="18" width="11.5546875" bestFit="1" customWidth="1"/>
  </cols>
  <sheetData>
    <row r="1" spans="1:20" s="62" customFormat="1" ht="43.8" thickBot="1">
      <c r="A1" s="62" t="s">
        <v>192</v>
      </c>
      <c r="B1" s="62" t="s">
        <v>194</v>
      </c>
      <c r="C1" s="62" t="s">
        <v>204</v>
      </c>
      <c r="D1" s="62" t="s">
        <v>205</v>
      </c>
      <c r="E1" s="62" t="s">
        <v>206</v>
      </c>
      <c r="F1" s="62" t="s">
        <v>207</v>
      </c>
      <c r="G1" s="62" t="s">
        <v>208</v>
      </c>
      <c r="H1" s="63" t="s">
        <v>209</v>
      </c>
      <c r="I1" s="63" t="s">
        <v>210</v>
      </c>
      <c r="J1" s="63" t="s">
        <v>211</v>
      </c>
      <c r="K1" s="63" t="s">
        <v>212</v>
      </c>
      <c r="L1" s="62" t="s">
        <v>213</v>
      </c>
      <c r="M1" s="62" t="s">
        <v>214</v>
      </c>
      <c r="N1" s="62" t="s">
        <v>215</v>
      </c>
      <c r="O1" s="62" t="s">
        <v>220</v>
      </c>
      <c r="P1" s="65" t="s">
        <v>217</v>
      </c>
      <c r="Q1" s="66" t="s">
        <v>219</v>
      </c>
      <c r="R1" s="65" t="s">
        <v>218</v>
      </c>
      <c r="S1" s="62" t="s">
        <v>193</v>
      </c>
    </row>
    <row r="2" spans="1:20" ht="15.6" thickTop="1" thickBot="1">
      <c r="A2" t="s">
        <v>195</v>
      </c>
      <c r="B2" t="s">
        <v>216</v>
      </c>
      <c r="C2">
        <v>0.48</v>
      </c>
      <c r="D2">
        <v>0.64</v>
      </c>
      <c r="E2">
        <v>0.76</v>
      </c>
      <c r="F2">
        <v>0.82</v>
      </c>
      <c r="G2">
        <v>0.84</v>
      </c>
      <c r="H2" s="56">
        <v>0.85</v>
      </c>
      <c r="I2" s="56">
        <v>0.86</v>
      </c>
      <c r="J2" s="56">
        <v>0.88</v>
      </c>
      <c r="K2" s="56">
        <v>0.8</v>
      </c>
      <c r="L2">
        <v>0.73</v>
      </c>
      <c r="M2">
        <v>0.56000000000000005</v>
      </c>
      <c r="N2">
        <v>0.4</v>
      </c>
      <c r="O2" s="68">
        <f>AVERAGE(tabla[[#This Row],[Jun]:[Sep]])</f>
        <v>0.84749999999999992</v>
      </c>
      <c r="P2">
        <v>0.85</v>
      </c>
      <c r="Q2" s="67">
        <f t="shared" ref="Q2:Q10" si="0">AVERAGE(C2:G2,L2:N2)</f>
        <v>0.65375000000000005</v>
      </c>
      <c r="R2">
        <v>0.65</v>
      </c>
    </row>
    <row r="3" spans="1:20" ht="15.6" thickTop="1" thickBot="1">
      <c r="A3" t="s">
        <v>196</v>
      </c>
      <c r="B3" t="s">
        <v>216</v>
      </c>
      <c r="C3">
        <v>0</v>
      </c>
      <c r="D3">
        <v>0</v>
      </c>
      <c r="E3">
        <v>0.11</v>
      </c>
      <c r="F3">
        <v>0.34</v>
      </c>
      <c r="G3">
        <v>0.45</v>
      </c>
      <c r="H3" s="56">
        <v>0.47</v>
      </c>
      <c r="I3" s="56">
        <v>0.5</v>
      </c>
      <c r="J3" s="56">
        <v>0.45</v>
      </c>
      <c r="K3" s="56">
        <v>0.23</v>
      </c>
      <c r="L3">
        <v>0.01</v>
      </c>
      <c r="M3">
        <v>0</v>
      </c>
      <c r="N3">
        <v>0</v>
      </c>
      <c r="O3" s="68">
        <f>AVERAGE(tabla[[#This Row],[Jun]:[Sep]])</f>
        <v>0.41249999999999998</v>
      </c>
      <c r="P3">
        <v>0.41</v>
      </c>
      <c r="Q3" s="67">
        <f t="shared" si="0"/>
        <v>0.11375</v>
      </c>
      <c r="R3">
        <v>0.11</v>
      </c>
    </row>
    <row r="4" spans="1:20" s="64" customFormat="1" ht="15.6" thickTop="1" thickBot="1">
      <c r="A4" s="64" t="s">
        <v>197</v>
      </c>
      <c r="B4" s="64" t="s">
        <v>216</v>
      </c>
      <c r="C4" s="64">
        <v>0.48</v>
      </c>
      <c r="D4" s="64">
        <v>0.47</v>
      </c>
      <c r="E4" s="64">
        <v>0.54</v>
      </c>
      <c r="F4" s="64">
        <v>0.61</v>
      </c>
      <c r="G4" s="64">
        <v>0.61</v>
      </c>
      <c r="H4" s="64">
        <v>0.6</v>
      </c>
      <c r="I4" s="64">
        <v>0.65</v>
      </c>
      <c r="J4" s="64">
        <v>0.67</v>
      </c>
      <c r="K4" s="64">
        <v>0.57999999999999996</v>
      </c>
      <c r="L4" s="64">
        <v>0.55000000000000004</v>
      </c>
      <c r="M4" s="64">
        <v>0.48</v>
      </c>
      <c r="N4" s="64">
        <v>0.49</v>
      </c>
      <c r="O4" s="68">
        <f>AVERAGE(tabla[[#This Row],[Jun]:[Sep]])</f>
        <v>0.625</v>
      </c>
      <c r="P4" s="64">
        <v>0.63</v>
      </c>
      <c r="Q4" s="67">
        <f t="shared" si="0"/>
        <v>0.52874999999999994</v>
      </c>
      <c r="R4" s="64">
        <v>0.53</v>
      </c>
    </row>
    <row r="5" spans="1:20" ht="15.6" thickTop="1" thickBot="1">
      <c r="A5" t="s">
        <v>198</v>
      </c>
      <c r="B5" t="s">
        <v>216</v>
      </c>
      <c r="C5">
        <v>0.76</v>
      </c>
      <c r="D5">
        <v>0.73</v>
      </c>
      <c r="E5">
        <v>0.73</v>
      </c>
      <c r="F5">
        <v>0.68</v>
      </c>
      <c r="G5">
        <v>0.64</v>
      </c>
      <c r="H5" s="56">
        <v>0.56999999999999995</v>
      </c>
      <c r="I5" s="56">
        <v>0.64</v>
      </c>
      <c r="J5" s="56">
        <v>0.75</v>
      </c>
      <c r="K5" s="56">
        <v>0.72</v>
      </c>
      <c r="L5">
        <v>0.79</v>
      </c>
      <c r="M5">
        <v>0.74</v>
      </c>
      <c r="N5">
        <v>0.78</v>
      </c>
      <c r="O5" s="68">
        <f>AVERAGE(tabla[[#This Row],[Jun]:[Sep]])</f>
        <v>0.66999999999999993</v>
      </c>
      <c r="P5">
        <v>0.67</v>
      </c>
      <c r="Q5" s="67">
        <f t="shared" si="0"/>
        <v>0.73125000000000007</v>
      </c>
      <c r="R5">
        <v>0.73</v>
      </c>
    </row>
    <row r="6" spans="1:20" ht="15.6" thickTop="1" thickBot="1">
      <c r="A6" t="s">
        <v>199</v>
      </c>
      <c r="B6" t="s">
        <v>216</v>
      </c>
      <c r="C6">
        <v>0.8</v>
      </c>
      <c r="D6">
        <v>0.78</v>
      </c>
      <c r="E6">
        <v>0.78</v>
      </c>
      <c r="F6">
        <v>0.67</v>
      </c>
      <c r="G6">
        <v>0.56999999999999995</v>
      </c>
      <c r="H6" s="56">
        <v>0.46</v>
      </c>
      <c r="I6" s="56">
        <v>0.56999999999999995</v>
      </c>
      <c r="J6" s="56">
        <v>0.69</v>
      </c>
      <c r="K6" s="56">
        <v>0.74</v>
      </c>
      <c r="L6">
        <v>0.81</v>
      </c>
      <c r="M6">
        <v>0.81</v>
      </c>
      <c r="N6">
        <v>0.84</v>
      </c>
      <c r="O6" s="68">
        <f>AVERAGE(tabla[[#This Row],[Jun]:[Sep]])</f>
        <v>0.61499999999999999</v>
      </c>
      <c r="P6">
        <v>0.62</v>
      </c>
      <c r="Q6" s="67">
        <f t="shared" si="0"/>
        <v>0.75750000000000006</v>
      </c>
      <c r="R6">
        <v>0.76</v>
      </c>
    </row>
    <row r="7" spans="1:20" ht="15.6" thickTop="1" thickBot="1">
      <c r="A7" t="s">
        <v>200</v>
      </c>
      <c r="B7" t="s">
        <v>216</v>
      </c>
      <c r="C7">
        <v>0.75</v>
      </c>
      <c r="D7">
        <v>0.76</v>
      </c>
      <c r="E7">
        <v>0.76</v>
      </c>
      <c r="F7">
        <v>0.68</v>
      </c>
      <c r="G7">
        <v>0.65</v>
      </c>
      <c r="H7" s="56">
        <v>0.56999999999999995</v>
      </c>
      <c r="I7" s="56">
        <v>0.62</v>
      </c>
      <c r="J7" s="56">
        <v>0.73</v>
      </c>
      <c r="K7" s="56">
        <v>0.7</v>
      </c>
      <c r="L7">
        <v>0.79</v>
      </c>
      <c r="M7">
        <v>0.76</v>
      </c>
      <c r="N7">
        <v>0.71</v>
      </c>
      <c r="O7" s="68">
        <f>AVERAGE(tabla[[#This Row],[Jun]:[Sep]])</f>
        <v>0.65500000000000003</v>
      </c>
      <c r="P7">
        <v>0.66</v>
      </c>
      <c r="Q7" s="67">
        <f t="shared" si="0"/>
        <v>0.73250000000000004</v>
      </c>
      <c r="R7">
        <v>0.73</v>
      </c>
    </row>
    <row r="8" spans="1:20" ht="15.6" thickTop="1" thickBot="1">
      <c r="A8" t="s">
        <v>201</v>
      </c>
      <c r="B8" t="s">
        <v>216</v>
      </c>
      <c r="C8">
        <v>0.47</v>
      </c>
      <c r="D8">
        <v>0.52</v>
      </c>
      <c r="E8">
        <v>0.61</v>
      </c>
      <c r="F8">
        <v>0.59</v>
      </c>
      <c r="G8">
        <v>0.63</v>
      </c>
      <c r="H8" s="56">
        <v>0.64</v>
      </c>
      <c r="I8" s="56">
        <v>0.6</v>
      </c>
      <c r="J8" s="56">
        <v>0.63</v>
      </c>
      <c r="K8" s="56">
        <v>0.56000000000000005</v>
      </c>
      <c r="L8">
        <v>0.57999999999999996</v>
      </c>
      <c r="M8">
        <v>0.46</v>
      </c>
      <c r="N8">
        <v>0.38</v>
      </c>
      <c r="O8" s="68">
        <f>AVERAGE(tabla[[#This Row],[Jun]:[Sep]])</f>
        <v>0.60750000000000004</v>
      </c>
      <c r="P8">
        <v>0.61</v>
      </c>
      <c r="Q8" s="67">
        <f t="shared" si="0"/>
        <v>0.53</v>
      </c>
      <c r="R8">
        <v>0.53</v>
      </c>
    </row>
    <row r="9" spans="1:20" ht="15.6" thickTop="1" thickBot="1">
      <c r="A9" t="s">
        <v>202</v>
      </c>
      <c r="B9" t="s">
        <v>216</v>
      </c>
      <c r="C9">
        <v>0</v>
      </c>
      <c r="D9">
        <v>0.03</v>
      </c>
      <c r="E9">
        <v>0.17</v>
      </c>
      <c r="F9">
        <v>0.31</v>
      </c>
      <c r="G9">
        <v>0.45</v>
      </c>
      <c r="H9" s="56">
        <v>0.49</v>
      </c>
      <c r="I9" s="56">
        <v>0.45</v>
      </c>
      <c r="J9" s="56">
        <v>0.4</v>
      </c>
      <c r="K9" s="56">
        <v>0.2</v>
      </c>
      <c r="L9">
        <v>0.03</v>
      </c>
      <c r="M9">
        <v>0</v>
      </c>
      <c r="N9">
        <v>0</v>
      </c>
      <c r="O9" s="68">
        <f>AVERAGE(tabla[[#This Row],[Jun]:[Sep]])</f>
        <v>0.38499999999999995</v>
      </c>
      <c r="P9">
        <v>0.39</v>
      </c>
      <c r="Q9" s="67">
        <f t="shared" si="0"/>
        <v>0.12375</v>
      </c>
      <c r="R9">
        <v>0.12</v>
      </c>
    </row>
    <row r="10" spans="1:20" ht="15.6" thickTop="1" thickBot="1">
      <c r="A10" t="s">
        <v>203</v>
      </c>
      <c r="B10" t="s">
        <v>216</v>
      </c>
      <c r="C10">
        <v>0</v>
      </c>
      <c r="D10">
        <v>0</v>
      </c>
      <c r="E10">
        <v>0</v>
      </c>
      <c r="F10">
        <v>0</v>
      </c>
      <c r="G10">
        <v>0</v>
      </c>
      <c r="H10" s="56">
        <v>0</v>
      </c>
      <c r="I10" s="56">
        <v>0</v>
      </c>
      <c r="J10" s="56">
        <v>0</v>
      </c>
      <c r="K10" s="56">
        <v>0</v>
      </c>
      <c r="L10">
        <v>0</v>
      </c>
      <c r="M10">
        <v>0</v>
      </c>
      <c r="N10">
        <v>0</v>
      </c>
      <c r="O10" s="68">
        <f>AVERAGE(tabla[[#This Row],[Jun]:[Sep]])</f>
        <v>0</v>
      </c>
      <c r="P10">
        <v>0</v>
      </c>
      <c r="Q10" s="67">
        <f t="shared" si="0"/>
        <v>0</v>
      </c>
      <c r="R10">
        <v>0</v>
      </c>
    </row>
    <row r="11" spans="1:20" ht="15" thickTop="1"/>
    <row r="12" spans="1:20">
      <c r="B12">
        <v>0.6</v>
      </c>
    </row>
    <row r="13" spans="1:20">
      <c r="B13">
        <v>0.05</v>
      </c>
      <c r="C13" s="69">
        <f>$B$12*(1-C4)+$B$13*C4</f>
        <v>0.33600000000000002</v>
      </c>
      <c r="D13" s="69">
        <f t="shared" ref="D13:N13" si="1">$B$12*(1-D4)+$B$13*D4</f>
        <v>0.34150000000000003</v>
      </c>
      <c r="E13" s="69">
        <f t="shared" si="1"/>
        <v>0.30299999999999999</v>
      </c>
      <c r="F13" s="69">
        <f t="shared" si="1"/>
        <v>0.26449999999999996</v>
      </c>
      <c r="G13" s="69">
        <f t="shared" si="1"/>
        <v>0.26449999999999996</v>
      </c>
      <c r="H13" s="69">
        <f t="shared" si="1"/>
        <v>0.27</v>
      </c>
      <c r="I13" s="69">
        <f t="shared" si="1"/>
        <v>0.24249999999999999</v>
      </c>
      <c r="J13" s="69">
        <f t="shared" si="1"/>
        <v>0.23149999999999998</v>
      </c>
      <c r="K13" s="69">
        <f t="shared" si="1"/>
        <v>0.28100000000000003</v>
      </c>
      <c r="L13" s="69">
        <f t="shared" si="1"/>
        <v>0.29749999999999999</v>
      </c>
      <c r="M13" s="69">
        <f t="shared" si="1"/>
        <v>0.33600000000000002</v>
      </c>
      <c r="N13" s="69">
        <f t="shared" si="1"/>
        <v>0.33050000000000002</v>
      </c>
      <c r="O13" s="69">
        <f t="shared" ref="O13:R13" si="2">0.61*(1-O4)+0.05*O4</f>
        <v>0.26</v>
      </c>
      <c r="P13" s="69">
        <f t="shared" si="2"/>
        <v>0.25719999999999998</v>
      </c>
      <c r="Q13" s="69">
        <f t="shared" si="2"/>
        <v>0.31390000000000001</v>
      </c>
      <c r="R13" s="69">
        <f t="shared" si="2"/>
        <v>0.31319999999999998</v>
      </c>
      <c r="S13" s="70">
        <f>AVERAGE(C13:R13)</f>
        <v>0.29017500000000002</v>
      </c>
      <c r="T13" s="70">
        <f>S13/$B$12</f>
        <v>0.48362500000000003</v>
      </c>
    </row>
    <row r="14" spans="1:20">
      <c r="C14" s="58"/>
      <c r="D14" s="58"/>
      <c r="E14" s="58"/>
      <c r="F14" s="58"/>
      <c r="G14" s="58"/>
      <c r="H14" s="58"/>
      <c r="I14" s="58"/>
      <c r="J14" s="58"/>
      <c r="K14" s="58"/>
      <c r="L14" s="58">
        <f>AVERAGE(H13:K13)</f>
        <v>0.25624999999999998</v>
      </c>
      <c r="M14" s="58"/>
      <c r="N14" s="58"/>
      <c r="O14" s="58"/>
      <c r="P14" s="58"/>
      <c r="R14" s="58"/>
      <c r="S14" s="58">
        <f>AVERAGE(H13:K13)</f>
        <v>0.25624999999999998</v>
      </c>
      <c r="T14" s="70">
        <f>S14/$B$12</f>
        <v>0.42708333333333331</v>
      </c>
    </row>
  </sheetData>
  <phoneticPr fontId="30" type="noConversion"/>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051C91-B02B-4A5F-8E52-0C8C239329C7}">
  <dimension ref="A1:Q26"/>
  <sheetViews>
    <sheetView workbookViewId="0"/>
  </sheetViews>
  <sheetFormatPr defaultRowHeight="14.4"/>
  <sheetData>
    <row r="1" spans="1:17">
      <c r="A1" s="57" t="s">
        <v>109</v>
      </c>
      <c r="B1" s="57" t="s">
        <v>110</v>
      </c>
      <c r="C1" s="57" t="s">
        <v>111</v>
      </c>
      <c r="D1" s="57" t="s">
        <v>112</v>
      </c>
      <c r="E1" s="57" t="s">
        <v>113</v>
      </c>
      <c r="F1" s="57" t="s">
        <v>114</v>
      </c>
      <c r="G1" s="57" t="s">
        <v>115</v>
      </c>
      <c r="H1" s="57" t="s">
        <v>116</v>
      </c>
      <c r="I1" s="57" t="s">
        <v>117</v>
      </c>
      <c r="J1" s="57" t="s">
        <v>118</v>
      </c>
      <c r="K1" s="57" t="s">
        <v>119</v>
      </c>
      <c r="L1" s="57" t="s">
        <v>120</v>
      </c>
      <c r="M1" s="57" t="s">
        <v>121</v>
      </c>
      <c r="N1" s="57" t="s">
        <v>122</v>
      </c>
      <c r="O1" s="57" t="s">
        <v>123</v>
      </c>
      <c r="P1" t="s">
        <v>125</v>
      </c>
    </row>
    <row r="2" spans="1:17">
      <c r="A2" s="57"/>
      <c r="B2" s="57"/>
      <c r="C2" s="57"/>
      <c r="D2" s="57"/>
      <c r="E2" s="57"/>
      <c r="F2" s="57"/>
      <c r="G2" s="57"/>
      <c r="H2" s="57"/>
      <c r="I2" s="57"/>
      <c r="J2" s="57"/>
      <c r="K2" s="57"/>
      <c r="L2" s="57"/>
      <c r="M2" s="57"/>
      <c r="N2" s="57"/>
      <c r="O2" s="57" t="s">
        <v>124</v>
      </c>
      <c r="P2" t="s">
        <v>126</v>
      </c>
    </row>
    <row r="3" spans="1:17">
      <c r="A3" s="57"/>
      <c r="B3" s="57"/>
      <c r="C3" s="57"/>
      <c r="D3" s="57"/>
      <c r="E3" s="57"/>
      <c r="F3" s="57"/>
      <c r="G3" s="57"/>
      <c r="H3" s="57"/>
      <c r="I3" s="57"/>
      <c r="J3" s="57"/>
      <c r="K3" s="57"/>
      <c r="L3" s="57"/>
      <c r="M3" s="57"/>
      <c r="N3" s="57"/>
      <c r="O3" s="57"/>
      <c r="P3" t="s">
        <v>127</v>
      </c>
    </row>
    <row r="4" spans="1:17">
      <c r="A4" s="57" t="s">
        <v>128</v>
      </c>
      <c r="B4" s="57" t="s">
        <v>129</v>
      </c>
      <c r="C4" s="59" t="s">
        <v>130</v>
      </c>
      <c r="D4" s="59" t="s">
        <v>131</v>
      </c>
      <c r="E4" s="59" t="s">
        <v>132</v>
      </c>
      <c r="F4" s="59" t="s">
        <v>133</v>
      </c>
      <c r="G4" s="59" t="s">
        <v>134</v>
      </c>
      <c r="H4" s="60" t="s">
        <v>135</v>
      </c>
      <c r="I4" s="60" t="s">
        <v>136</v>
      </c>
      <c r="J4" s="60" t="s">
        <v>137</v>
      </c>
      <c r="K4" s="60" t="s">
        <v>138</v>
      </c>
      <c r="L4" s="59" t="s">
        <v>139</v>
      </c>
      <c r="M4" s="59" t="s">
        <v>140</v>
      </c>
      <c r="N4" s="59" t="s">
        <v>141</v>
      </c>
      <c r="O4" s="59" t="s">
        <v>135</v>
      </c>
      <c r="P4" s="61" t="s">
        <v>142</v>
      </c>
      <c r="Q4" t="e">
        <f>AVERAGE(H4:K4)</f>
        <v>#DIV/0!</v>
      </c>
    </row>
    <row r="5" spans="1:17">
      <c r="A5" s="57" t="s">
        <v>143</v>
      </c>
      <c r="B5" s="57" t="s">
        <v>129</v>
      </c>
      <c r="C5" s="59" t="s">
        <v>144</v>
      </c>
      <c r="D5" s="59" t="s">
        <v>144</v>
      </c>
      <c r="E5" s="59" t="s">
        <v>145</v>
      </c>
      <c r="F5" s="59" t="s">
        <v>146</v>
      </c>
      <c r="G5" s="59" t="s">
        <v>147</v>
      </c>
      <c r="H5" s="60" t="s">
        <v>148</v>
      </c>
      <c r="I5" s="60" t="s">
        <v>149</v>
      </c>
      <c r="J5" s="60" t="s">
        <v>147</v>
      </c>
      <c r="K5" s="60" t="s">
        <v>150</v>
      </c>
      <c r="L5" s="59" t="s">
        <v>151</v>
      </c>
      <c r="M5" s="59" t="s">
        <v>144</v>
      </c>
      <c r="N5" s="59" t="s">
        <v>144</v>
      </c>
      <c r="O5" s="59" t="s">
        <v>152</v>
      </c>
      <c r="P5" s="61" t="s">
        <v>145</v>
      </c>
    </row>
    <row r="6" spans="1:17">
      <c r="A6" s="57" t="s">
        <v>153</v>
      </c>
      <c r="B6" s="57" t="s">
        <v>129</v>
      </c>
      <c r="C6" s="59" t="s">
        <v>130</v>
      </c>
      <c r="D6" s="59" t="s">
        <v>148</v>
      </c>
      <c r="E6" s="59" t="s">
        <v>154</v>
      </c>
      <c r="F6" s="59" t="s">
        <v>155</v>
      </c>
      <c r="G6" s="59" t="s">
        <v>155</v>
      </c>
      <c r="H6" s="60" t="s">
        <v>156</v>
      </c>
      <c r="I6" s="60" t="s">
        <v>142</v>
      </c>
      <c r="J6" s="60" t="s">
        <v>157</v>
      </c>
      <c r="K6" s="60" t="s">
        <v>158</v>
      </c>
      <c r="L6" s="59" t="s">
        <v>159</v>
      </c>
      <c r="M6" s="59" t="s">
        <v>130</v>
      </c>
      <c r="N6" s="59" t="s">
        <v>160</v>
      </c>
      <c r="O6" s="59" t="s">
        <v>161</v>
      </c>
      <c r="P6" s="61" t="s">
        <v>162</v>
      </c>
    </row>
    <row r="7" spans="1:17">
      <c r="A7" s="57" t="s">
        <v>163</v>
      </c>
      <c r="B7" s="57" t="s">
        <v>129</v>
      </c>
      <c r="C7" s="59" t="s">
        <v>132</v>
      </c>
      <c r="D7" s="59" t="s">
        <v>139</v>
      </c>
      <c r="E7" s="59" t="s">
        <v>139</v>
      </c>
      <c r="F7" s="59" t="s">
        <v>164</v>
      </c>
      <c r="G7" s="59" t="s">
        <v>131</v>
      </c>
      <c r="H7" s="60" t="s">
        <v>165</v>
      </c>
      <c r="I7" s="60" t="s">
        <v>131</v>
      </c>
      <c r="J7" s="60" t="s">
        <v>166</v>
      </c>
      <c r="K7" s="60" t="s">
        <v>167</v>
      </c>
      <c r="L7" s="59" t="s">
        <v>168</v>
      </c>
      <c r="M7" s="59" t="s">
        <v>169</v>
      </c>
      <c r="N7" s="59" t="s">
        <v>170</v>
      </c>
      <c r="O7" s="59" t="s">
        <v>157</v>
      </c>
      <c r="P7" s="61" t="s">
        <v>139</v>
      </c>
    </row>
    <row r="8" spans="1:17">
      <c r="A8" s="57" t="s">
        <v>171</v>
      </c>
      <c r="B8" s="57" t="s">
        <v>129</v>
      </c>
      <c r="C8" s="59" t="s">
        <v>138</v>
      </c>
      <c r="D8" s="59" t="s">
        <v>170</v>
      </c>
      <c r="E8" s="59" t="s">
        <v>170</v>
      </c>
      <c r="F8" s="59" t="s">
        <v>157</v>
      </c>
      <c r="G8" s="59" t="s">
        <v>165</v>
      </c>
      <c r="H8" s="60" t="s">
        <v>172</v>
      </c>
      <c r="I8" s="60" t="s">
        <v>165</v>
      </c>
      <c r="J8" s="60" t="s">
        <v>173</v>
      </c>
      <c r="K8" s="60" t="s">
        <v>169</v>
      </c>
      <c r="L8" s="59" t="s">
        <v>174</v>
      </c>
      <c r="M8" s="59" t="s">
        <v>174</v>
      </c>
      <c r="N8" s="59" t="s">
        <v>134</v>
      </c>
      <c r="O8" s="59" t="s">
        <v>175</v>
      </c>
      <c r="P8" s="61" t="s">
        <v>132</v>
      </c>
    </row>
    <row r="9" spans="1:17">
      <c r="A9" s="57" t="s">
        <v>176</v>
      </c>
      <c r="B9" s="57" t="s">
        <v>129</v>
      </c>
      <c r="C9" s="59" t="s">
        <v>166</v>
      </c>
      <c r="D9" s="59" t="s">
        <v>132</v>
      </c>
      <c r="E9" s="59" t="s">
        <v>132</v>
      </c>
      <c r="F9" s="59" t="s">
        <v>164</v>
      </c>
      <c r="G9" s="59" t="s">
        <v>142</v>
      </c>
      <c r="H9" s="60" t="s">
        <v>165</v>
      </c>
      <c r="I9" s="60" t="s">
        <v>175</v>
      </c>
      <c r="J9" s="60" t="s">
        <v>139</v>
      </c>
      <c r="K9" s="60" t="s">
        <v>177</v>
      </c>
      <c r="L9" s="59" t="s">
        <v>168</v>
      </c>
      <c r="M9" s="59" t="s">
        <v>132</v>
      </c>
      <c r="N9" s="59" t="s">
        <v>178</v>
      </c>
      <c r="O9" s="59" t="s">
        <v>179</v>
      </c>
      <c r="P9" s="61" t="s">
        <v>139</v>
      </c>
    </row>
    <row r="10" spans="1:17">
      <c r="A10" s="57" t="s">
        <v>180</v>
      </c>
      <c r="B10" s="57" t="s">
        <v>129</v>
      </c>
      <c r="C10" s="59" t="s">
        <v>148</v>
      </c>
      <c r="D10" s="59" t="s">
        <v>181</v>
      </c>
      <c r="E10" s="59" t="s">
        <v>155</v>
      </c>
      <c r="F10" s="59" t="s">
        <v>182</v>
      </c>
      <c r="G10" s="59" t="s">
        <v>161</v>
      </c>
      <c r="H10" s="60" t="s">
        <v>131</v>
      </c>
      <c r="I10" s="60" t="s">
        <v>156</v>
      </c>
      <c r="J10" s="60" t="s">
        <v>161</v>
      </c>
      <c r="K10" s="60" t="s">
        <v>140</v>
      </c>
      <c r="L10" s="59" t="s">
        <v>158</v>
      </c>
      <c r="M10" s="59" t="s">
        <v>172</v>
      </c>
      <c r="N10" s="59" t="s">
        <v>183</v>
      </c>
      <c r="O10" s="59" t="s">
        <v>155</v>
      </c>
      <c r="P10" s="61" t="s">
        <v>162</v>
      </c>
    </row>
    <row r="11" spans="1:17">
      <c r="A11" s="57" t="s">
        <v>184</v>
      </c>
      <c r="B11" s="57" t="s">
        <v>129</v>
      </c>
      <c r="C11" s="59" t="s">
        <v>144</v>
      </c>
      <c r="D11" s="59" t="s">
        <v>185</v>
      </c>
      <c r="E11" s="59" t="s">
        <v>186</v>
      </c>
      <c r="F11" s="59" t="s">
        <v>187</v>
      </c>
      <c r="G11" s="59" t="s">
        <v>147</v>
      </c>
      <c r="H11" s="60" t="s">
        <v>160</v>
      </c>
      <c r="I11" s="60" t="s">
        <v>147</v>
      </c>
      <c r="J11" s="60" t="s">
        <v>141</v>
      </c>
      <c r="K11" s="60" t="s">
        <v>188</v>
      </c>
      <c r="L11" s="59" t="s">
        <v>185</v>
      </c>
      <c r="M11" s="59" t="s">
        <v>144</v>
      </c>
      <c r="N11" s="59" t="s">
        <v>144</v>
      </c>
      <c r="O11" s="59" t="s">
        <v>189</v>
      </c>
      <c r="P11" s="61" t="s">
        <v>190</v>
      </c>
    </row>
    <row r="12" spans="1:17">
      <c r="A12" s="57" t="s">
        <v>191</v>
      </c>
      <c r="B12" s="57" t="s">
        <v>129</v>
      </c>
      <c r="C12" s="59" t="s">
        <v>144</v>
      </c>
      <c r="D12" s="59" t="s">
        <v>144</v>
      </c>
      <c r="E12" s="59" t="s">
        <v>144</v>
      </c>
      <c r="F12" s="59" t="s">
        <v>144</v>
      </c>
      <c r="G12" s="59" t="s">
        <v>144</v>
      </c>
      <c r="H12" s="60" t="s">
        <v>144</v>
      </c>
      <c r="I12" s="60" t="s">
        <v>144</v>
      </c>
      <c r="J12" s="60" t="s">
        <v>144</v>
      </c>
      <c r="K12" s="60" t="s">
        <v>144</v>
      </c>
      <c r="L12" s="59" t="s">
        <v>144</v>
      </c>
      <c r="M12" s="59" t="s">
        <v>144</v>
      </c>
      <c r="N12" s="59" t="s">
        <v>144</v>
      </c>
      <c r="O12" s="59" t="s">
        <v>144</v>
      </c>
      <c r="P12" s="61" t="s">
        <v>144</v>
      </c>
    </row>
    <row r="15" spans="1:17">
      <c r="C15">
        <v>0.48</v>
      </c>
      <c r="D15" t="s">
        <v>131</v>
      </c>
      <c r="E15" t="s">
        <v>132</v>
      </c>
      <c r="F15" t="s">
        <v>133</v>
      </c>
      <c r="G15" t="s">
        <v>134</v>
      </c>
      <c r="H15" t="s">
        <v>135</v>
      </c>
      <c r="I15" t="s">
        <v>136</v>
      </c>
      <c r="J15" t="s">
        <v>137</v>
      </c>
      <c r="K15" t="s">
        <v>138</v>
      </c>
      <c r="L15" t="s">
        <v>139</v>
      </c>
      <c r="M15" t="s">
        <v>140</v>
      </c>
      <c r="N15" t="s">
        <v>141</v>
      </c>
      <c r="O15" t="s">
        <v>135</v>
      </c>
      <c r="P15" t="s">
        <v>142</v>
      </c>
    </row>
    <row r="16" spans="1:17">
      <c r="C16" t="s">
        <v>144</v>
      </c>
      <c r="D16" t="s">
        <v>144</v>
      </c>
      <c r="E16" t="s">
        <v>145</v>
      </c>
      <c r="F16" t="s">
        <v>146</v>
      </c>
      <c r="G16" t="s">
        <v>147</v>
      </c>
      <c r="H16" t="s">
        <v>148</v>
      </c>
      <c r="I16" t="s">
        <v>149</v>
      </c>
      <c r="J16" t="s">
        <v>147</v>
      </c>
      <c r="K16" t="s">
        <v>150</v>
      </c>
      <c r="L16" t="s">
        <v>151</v>
      </c>
      <c r="M16" t="s">
        <v>144</v>
      </c>
      <c r="N16" t="s">
        <v>144</v>
      </c>
      <c r="O16" t="s">
        <v>152</v>
      </c>
      <c r="P16" t="s">
        <v>145</v>
      </c>
    </row>
    <row r="17" spans="3:16">
      <c r="C17" t="s">
        <v>130</v>
      </c>
      <c r="D17" t="s">
        <v>148</v>
      </c>
      <c r="E17" t="s">
        <v>154</v>
      </c>
      <c r="F17" t="s">
        <v>155</v>
      </c>
      <c r="G17" t="s">
        <v>155</v>
      </c>
      <c r="H17" t="s">
        <v>156</v>
      </c>
      <c r="I17" t="s">
        <v>142</v>
      </c>
      <c r="J17" t="s">
        <v>157</v>
      </c>
      <c r="K17" t="s">
        <v>158</v>
      </c>
      <c r="L17" t="s">
        <v>159</v>
      </c>
      <c r="M17" t="s">
        <v>130</v>
      </c>
      <c r="N17" t="s">
        <v>160</v>
      </c>
      <c r="O17" t="s">
        <v>161</v>
      </c>
      <c r="P17" t="s">
        <v>162</v>
      </c>
    </row>
    <row r="18" spans="3:16">
      <c r="C18" t="s">
        <v>132</v>
      </c>
      <c r="D18" t="s">
        <v>139</v>
      </c>
      <c r="E18" t="s">
        <v>139</v>
      </c>
      <c r="F18" t="s">
        <v>164</v>
      </c>
      <c r="G18" t="s">
        <v>131</v>
      </c>
      <c r="H18" t="s">
        <v>165</v>
      </c>
      <c r="I18" t="s">
        <v>131</v>
      </c>
      <c r="J18" t="s">
        <v>166</v>
      </c>
      <c r="K18" t="s">
        <v>167</v>
      </c>
      <c r="L18" t="s">
        <v>168</v>
      </c>
      <c r="M18" t="s">
        <v>169</v>
      </c>
      <c r="N18" t="s">
        <v>170</v>
      </c>
      <c r="O18" t="s">
        <v>157</v>
      </c>
      <c r="P18" t="s">
        <v>139</v>
      </c>
    </row>
    <row r="19" spans="3:16">
      <c r="C19" t="s">
        <v>138</v>
      </c>
      <c r="D19" t="s">
        <v>170</v>
      </c>
      <c r="E19" t="s">
        <v>170</v>
      </c>
      <c r="F19" t="s">
        <v>157</v>
      </c>
      <c r="G19" t="s">
        <v>165</v>
      </c>
      <c r="H19" t="s">
        <v>172</v>
      </c>
      <c r="I19" t="s">
        <v>165</v>
      </c>
      <c r="J19" t="s">
        <v>173</v>
      </c>
      <c r="K19" t="s">
        <v>169</v>
      </c>
      <c r="L19" t="s">
        <v>174</v>
      </c>
      <c r="M19" t="s">
        <v>174</v>
      </c>
      <c r="N19" t="s">
        <v>134</v>
      </c>
      <c r="O19" t="s">
        <v>175</v>
      </c>
      <c r="P19" t="s">
        <v>132</v>
      </c>
    </row>
    <row r="20" spans="3:16">
      <c r="C20" t="s">
        <v>166</v>
      </c>
      <c r="D20" t="s">
        <v>132</v>
      </c>
      <c r="E20" t="s">
        <v>132</v>
      </c>
      <c r="F20" t="s">
        <v>164</v>
      </c>
      <c r="G20" t="s">
        <v>142</v>
      </c>
      <c r="H20" t="s">
        <v>165</v>
      </c>
      <c r="I20" t="s">
        <v>175</v>
      </c>
      <c r="J20" t="s">
        <v>139</v>
      </c>
      <c r="K20" t="s">
        <v>177</v>
      </c>
      <c r="L20" t="s">
        <v>168</v>
      </c>
      <c r="M20" t="s">
        <v>132</v>
      </c>
      <c r="N20" t="s">
        <v>178</v>
      </c>
      <c r="O20" t="s">
        <v>179</v>
      </c>
      <c r="P20" t="s">
        <v>139</v>
      </c>
    </row>
    <row r="21" spans="3:16">
      <c r="C21" t="s">
        <v>148</v>
      </c>
      <c r="D21" t="s">
        <v>181</v>
      </c>
      <c r="E21" t="s">
        <v>155</v>
      </c>
      <c r="F21" t="s">
        <v>182</v>
      </c>
      <c r="G21" t="s">
        <v>161</v>
      </c>
      <c r="H21" t="s">
        <v>131</v>
      </c>
      <c r="I21" t="s">
        <v>156</v>
      </c>
      <c r="J21" t="s">
        <v>161</v>
      </c>
      <c r="K21" t="s">
        <v>140</v>
      </c>
      <c r="L21" t="s">
        <v>158</v>
      </c>
      <c r="M21" t="s">
        <v>172</v>
      </c>
      <c r="N21" t="s">
        <v>183</v>
      </c>
      <c r="O21" t="s">
        <v>155</v>
      </c>
      <c r="P21" t="s">
        <v>162</v>
      </c>
    </row>
    <row r="22" spans="3:16">
      <c r="C22" t="s">
        <v>144</v>
      </c>
      <c r="D22" t="s">
        <v>185</v>
      </c>
      <c r="E22" t="s">
        <v>186</v>
      </c>
      <c r="F22" t="s">
        <v>187</v>
      </c>
      <c r="G22" t="s">
        <v>147</v>
      </c>
      <c r="H22" t="s">
        <v>160</v>
      </c>
      <c r="I22" t="s">
        <v>147</v>
      </c>
      <c r="J22" t="s">
        <v>141</v>
      </c>
      <c r="K22" t="s">
        <v>188</v>
      </c>
      <c r="L22" t="s">
        <v>185</v>
      </c>
      <c r="M22" t="s">
        <v>144</v>
      </c>
      <c r="N22" t="s">
        <v>144</v>
      </c>
      <c r="O22" t="s">
        <v>189</v>
      </c>
      <c r="P22" t="s">
        <v>190</v>
      </c>
    </row>
    <row r="23" spans="3:16">
      <c r="C23" t="s">
        <v>144</v>
      </c>
      <c r="D23" t="s">
        <v>144</v>
      </c>
      <c r="E23" t="s">
        <v>144</v>
      </c>
      <c r="F23" t="s">
        <v>144</v>
      </c>
      <c r="G23" t="s">
        <v>144</v>
      </c>
      <c r="H23" t="s">
        <v>144</v>
      </c>
      <c r="I23" t="s">
        <v>144</v>
      </c>
      <c r="J23" t="s">
        <v>144</v>
      </c>
      <c r="K23" t="s">
        <v>144</v>
      </c>
      <c r="L23" t="s">
        <v>144</v>
      </c>
      <c r="M23" t="s">
        <v>144</v>
      </c>
      <c r="N23" t="s">
        <v>144</v>
      </c>
      <c r="O23" t="s">
        <v>144</v>
      </c>
      <c r="P23" t="s">
        <v>144</v>
      </c>
    </row>
    <row r="26" spans="3:16">
      <c r="C26" s="58"/>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61D56B8-067F-462D-B71E-7611A4A876A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Geometria</vt:lpstr>
      <vt:lpstr>K_global</vt:lpstr>
      <vt:lpstr>PT</vt:lpstr>
      <vt:lpstr>q_sol;jul</vt:lpstr>
      <vt:lpstr>Cale</vt:lpstr>
      <vt:lpstr>Refri</vt:lpstr>
      <vt:lpstr>tabla</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Usuario</dc:creator>
  <cp:lastModifiedBy>Tomás González Llarena</cp:lastModifiedBy>
  <dcterms:created xsi:type="dcterms:W3CDTF">2015-06-05T18:17:20Z</dcterms:created>
  <dcterms:modified xsi:type="dcterms:W3CDTF">2025-11-26T16:29:06Z</dcterms:modified>
</cp:coreProperties>
</file>