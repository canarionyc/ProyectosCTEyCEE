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royectosCTEyCEE\CTEHE2019\Proyectos\EjemploI_2526_Option3_Config1\"/>
    </mc:Choice>
  </mc:AlternateContent>
  <xr:revisionPtr revIDLastSave="0" documentId="13_ncr:1_{B2B25102-D6BF-498F-9CF1-B9208D359DC0}" xr6:coauthVersionLast="47" xr6:coauthVersionMax="47" xr10:uidLastSave="{00000000-0000-0000-0000-000000000000}"/>
  <bookViews>
    <workbookView xWindow="21864" yWindow="156" windowWidth="23928" windowHeight="24960" xr2:uid="{CE833B6C-91C7-4F54-A261-F495565A982B}"/>
  </bookViews>
  <sheets>
    <sheet name="Opacos y Huecos" sheetId="1" r:id="rId1"/>
    <sheet name="PT" sheetId="2" r:id="rId2"/>
    <sheet name="Sheet3" sheetId="3" r:id="rId3"/>
  </sheets>
  <definedNames>
    <definedName name="_xlnm._FilterDatabase" localSheetId="0" hidden="1">'Opacos y Huecos'!$A$1:$O$40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2" l="1"/>
  <c r="F14" i="2"/>
  <c r="K41" i="1"/>
  <c r="L40" i="1"/>
  <c r="E17" i="2"/>
</calcChain>
</file>

<file path=xl/sharedStrings.xml><?xml version="1.0" encoding="utf-8"?>
<sst xmlns="http://schemas.openxmlformats.org/spreadsheetml/2006/main" count="185" uniqueCount="73">
  <si>
    <t>Ancho ( m)</t>
  </si>
  <si>
    <t>Largo ( m)</t>
  </si>
  <si>
    <t>Alto ( m)</t>
  </si>
  <si>
    <t>PLANTA BAJA. P02</t>
  </si>
  <si>
    <t>-</t>
  </si>
  <si>
    <t>CUMPLE</t>
  </si>
  <si>
    <t>Código  del elemento</t>
  </si>
  <si>
    <t>Tipo  de Contacto</t>
  </si>
  <si>
    <t>Descripción</t>
  </si>
  <si>
    <t>Sup. Total Cerramiento
(m2)</t>
  </si>
  <si>
    <t>Sup. Parte OPACA   ET
(m2)</t>
  </si>
  <si>
    <t>Sup. HUECO
ET ( m 2)</t>
  </si>
  <si>
    <t>Sup. E.T. (m2)</t>
  </si>
  <si>
    <t>U
W/ m2K</t>
  </si>
  <si>
    <t>TOTALES PLANTA 01</t>
  </si>
  <si>
    <t>NO APLICA</t>
  </si>
  <si>
    <t>M2.N1</t>
  </si>
  <si>
    <t>EXTERIOR</t>
  </si>
  <si>
    <t>H2-N1</t>
  </si>
  <si>
    <t>VENTANA</t>
  </si>
  <si>
    <t>M2.E1</t>
  </si>
  <si>
    <t>H2-E1</t>
  </si>
  <si>
    <t>M2.S1</t>
  </si>
  <si>
    <t>H2-S1</t>
  </si>
  <si>
    <t>M2.O1</t>
  </si>
  <si>
    <t>H2-O1</t>
  </si>
  <si>
    <t>PUERTA</t>
  </si>
  <si>
    <t>H2-O2</t>
  </si>
  <si>
    <t>F2.1</t>
  </si>
  <si>
    <t>NH</t>
  </si>
  <si>
    <t>SUELO</t>
  </si>
  <si>
    <t>F3.1</t>
  </si>
  <si>
    <t>TECHO</t>
  </si>
  <si>
    <t>TOTALES PLANTA 02</t>
  </si>
  <si>
    <t>PLANTA BAJOCUBIERTA. P03</t>
  </si>
  <si>
    <t>H3-N1</t>
  </si>
  <si>
    <t>H3-E1</t>
  </si>
  <si>
    <t>H3-E2</t>
  </si>
  <si>
    <t>H3-S1</t>
  </si>
  <si>
    <t>C3-N1</t>
  </si>
  <si>
    <t>CUBIERTA</t>
  </si>
  <si>
    <t>H3-N2</t>
  </si>
  <si>
    <t>LUCERNARIO</t>
  </si>
  <si>
    <t>C3-E1</t>
  </si>
  <si>
    <t>H3-E3</t>
  </si>
  <si>
    <t>H3-E4</t>
  </si>
  <si>
    <t>C3-S1</t>
  </si>
  <si>
    <t>H3-S2</t>
  </si>
  <si>
    <t>C3-O1</t>
  </si>
  <si>
    <t>TOTALES PLANTA 03</t>
  </si>
  <si>
    <t>TOTALES EDIFICIO</t>
  </si>
  <si>
    <t>Definición</t>
  </si>
  <si>
    <t>Longitud L(m)</t>
  </si>
  <si>
    <t>Jambas</t>
  </si>
  <si>
    <t>Pilares</t>
  </si>
  <si>
    <t>Suelos con terreno</t>
  </si>
  <si>
    <t>P  U  E  N  T  E  S    T  É  R  M  I  C  O  S</t>
  </si>
  <si>
    <t>Frente forjados</t>
  </si>
  <si>
    <t>Cubiertas planas</t>
  </si>
  <si>
    <t>Esquinas exteriores</t>
  </si>
  <si>
    <t>Esquinas interiores</t>
  </si>
  <si>
    <t>Forjado int contacto aire</t>
  </si>
  <si>
    <t>Alfeizar</t>
  </si>
  <si>
    <t>Dinteles/capialzados</t>
  </si>
  <si>
    <t>PLANTA CÁMARA SANITARIA. P01
La planta 01 correspondiente al nivel de cámara sanitaria. no se incluye en ninguna de las opciones dentro de la envolvente térmica por lo que no se detallan en la tabla las características de sus cerramientos.</t>
  </si>
  <si>
    <t>0.00             0.00           0.00</t>
  </si>
  <si>
    <t>M. FACHADA</t>
  </si>
  <si>
    <t>131.40         28.60        160.00</t>
  </si>
  <si>
    <t>Ulim
W/ m2K</t>
  </si>
  <si>
    <r>
      <t>¿</t>
    </r>
    <r>
      <rPr>
        <b/>
        <sz val="8"/>
        <color indexed="9"/>
        <rFont val="Symbol"/>
        <family val="1"/>
        <charset val="204"/>
      </rPr>
      <t></t>
    </r>
    <r>
      <rPr>
        <sz val="8"/>
        <color indexed="9"/>
        <rFont val="Times New Roman"/>
        <family val="1"/>
        <charset val="204"/>
      </rPr>
      <t xml:space="preserve"> </t>
    </r>
    <r>
      <rPr>
        <sz val="8"/>
        <color indexed="9"/>
        <rFont val="Maiandra GD"/>
        <family val="1"/>
        <charset val="204"/>
      </rPr>
      <t xml:space="preserve">a ET?
</t>
    </r>
    <r>
      <rPr>
        <b/>
        <sz val="8"/>
        <color indexed="9"/>
        <rFont val="Symbol"/>
        <family val="1"/>
        <charset val="204"/>
      </rPr>
      <t></t>
    </r>
    <r>
      <rPr>
        <sz val="8"/>
        <color indexed="9"/>
        <rFont val="Times New Roman"/>
        <family val="1"/>
        <charset val="204"/>
      </rPr>
      <t xml:space="preserve"> </t>
    </r>
    <r>
      <rPr>
        <sz val="8"/>
        <color indexed="9"/>
        <rFont val="Maiandra GD"/>
        <family val="1"/>
        <charset val="204"/>
      </rPr>
      <t xml:space="preserve">ET=1
</t>
    </r>
    <r>
      <rPr>
        <b/>
        <sz val="8"/>
        <color indexed="9"/>
        <rFont val="Symbol"/>
        <family val="1"/>
        <charset val="204"/>
      </rPr>
      <t></t>
    </r>
    <r>
      <rPr>
        <sz val="8"/>
        <color indexed="9"/>
        <rFont val="Times New Roman"/>
        <family val="1"/>
        <charset val="204"/>
      </rPr>
      <t xml:space="preserve"> </t>
    </r>
    <r>
      <rPr>
        <sz val="8"/>
        <color indexed="9"/>
        <rFont val="Maiandra GD"/>
        <family val="1"/>
        <charset val="204"/>
      </rPr>
      <t>ET=0</t>
    </r>
  </si>
  <si>
    <r>
      <t xml:space="preserve">Cumplimiento
</t>
    </r>
    <r>
      <rPr>
        <i/>
        <sz val="8"/>
        <color indexed="9"/>
        <rFont val="Gill Sans MT"/>
        <family val="1"/>
        <charset val="204"/>
      </rPr>
      <t>Valores  limite</t>
    </r>
  </si>
  <si>
    <r>
      <t xml:space="preserve">Ψ
T. lineal
</t>
    </r>
    <r>
      <rPr>
        <sz val="9"/>
        <color indexed="9"/>
        <rFont val="Maiandra GD"/>
        <family val="1"/>
        <charset val="204"/>
      </rPr>
      <t>W/ m·K</t>
    </r>
  </si>
  <si>
    <r>
      <t xml:space="preserve">Ψ  </t>
    </r>
    <r>
      <rPr>
        <sz val="9"/>
        <color indexed="9"/>
        <rFont val="Maiandra GD"/>
        <family val="1"/>
        <charset val="204"/>
      </rPr>
      <t>x L W/ 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</si>
</sst>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family val="2"/>
      <scheme val="minor"/>
    </font>
    <font>
      <sz val="11"/>
      <color rgb="FF006100"/>
      <name val="Aptos Narrow"/>
      <family val="2"/>
      <scheme val="minor"/>
    </font>
    <font>
      <sz val="8"/>
      <color indexed="9"/>
      <name val="Maiandra GD"/>
      <family val="2"/>
    </font>
    <font>
      <sz val="8"/>
      <color indexed="9"/>
      <name val="Maiandra GD"/>
      <family val="1"/>
      <charset val="204"/>
    </font>
    <font>
      <b/>
      <sz val="8"/>
      <color indexed="9"/>
      <name val="Symbol"/>
      <family val="1"/>
      <charset val="204"/>
    </font>
    <font>
      <sz val="8"/>
      <color indexed="9"/>
      <name val="Times New Roman"/>
      <family val="1"/>
      <charset val="204"/>
    </font>
    <font>
      <b/>
      <sz val="8"/>
      <color theme="0"/>
      <name val="Maiandra GD"/>
      <family val="1"/>
      <charset val="204"/>
    </font>
    <font>
      <i/>
      <sz val="8"/>
      <color indexed="9"/>
      <name val="Gill Sans MT"/>
      <family val="1"/>
      <charset val="204"/>
    </font>
    <font>
      <sz val="8"/>
      <name val="Times New Roman"/>
      <family val="1"/>
      <charset val="204"/>
    </font>
    <font>
      <sz val="8"/>
      <color theme="1"/>
      <name val="Aptos Narrow"/>
      <family val="2"/>
      <scheme val="minor"/>
    </font>
    <font>
      <sz val="8"/>
      <color indexed="8"/>
      <name val="Maiandra GD"/>
      <family val="1"/>
      <charset val="204"/>
    </font>
    <font>
      <sz val="8"/>
      <color indexed="8"/>
      <name val="Maiandra GD"/>
      <family val="2"/>
    </font>
    <font>
      <b/>
      <sz val="8"/>
      <color theme="0"/>
      <name val="Times New Roman"/>
      <family val="1"/>
      <charset val="204"/>
    </font>
    <font>
      <b/>
      <sz val="8"/>
      <color theme="0"/>
      <name val="Maiandra GD"/>
      <family val="2"/>
    </font>
    <font>
      <sz val="8"/>
      <color rgb="FF006100"/>
      <name val="Aptos Narrow"/>
      <family val="2"/>
      <scheme val="minor"/>
    </font>
    <font>
      <b/>
      <sz val="8"/>
      <color theme="0"/>
      <name val="Aptos Narrow"/>
      <family val="2"/>
      <scheme val="minor"/>
    </font>
    <font>
      <sz val="8"/>
      <color indexed="8"/>
      <name val="Arial"/>
      <family val="2"/>
    </font>
    <font>
      <sz val="8"/>
      <color indexed="9"/>
      <name val="Arial Black"/>
      <family val="2"/>
    </font>
    <font>
      <b/>
      <sz val="8"/>
      <color indexed="9"/>
      <name val="Arial"/>
      <family val="2"/>
    </font>
    <font>
      <sz val="9"/>
      <color indexed="8"/>
      <name val="Maiandra GD"/>
      <family val="2"/>
    </font>
    <font>
      <sz val="9"/>
      <color theme="1"/>
      <name val="Aptos Narrow"/>
      <family val="2"/>
      <scheme val="minor"/>
    </font>
    <font>
      <sz val="9"/>
      <color indexed="9"/>
      <name val="Maiandra GD"/>
      <family val="2"/>
    </font>
    <font>
      <b/>
      <sz val="9"/>
      <color indexed="9"/>
      <name val="Arial"/>
      <family val="1"/>
      <charset val="204"/>
    </font>
    <font>
      <sz val="9"/>
      <color indexed="9"/>
      <name val="Maiandra GD"/>
      <family val="1"/>
      <charset val="204"/>
    </font>
    <font>
      <b/>
      <sz val="9"/>
      <color indexed="9"/>
      <name val="Calibri"/>
      <family val="1"/>
      <charset val="204"/>
    </font>
    <font>
      <sz val="9"/>
      <name val="Times New Roman"/>
      <family val="1"/>
      <charset val="204"/>
    </font>
    <font>
      <sz val="9"/>
      <color indexed="9"/>
      <name val="Arial Black"/>
      <family val="2"/>
    </font>
    <font>
      <b/>
      <sz val="9"/>
      <color indexed="9"/>
      <name val="Arial"/>
      <family val="2"/>
    </font>
    <font>
      <b/>
      <sz val="8"/>
      <name val="Maiandra GD"/>
      <family val="1"/>
      <charset val="204"/>
    </font>
    <font>
      <b/>
      <sz val="8"/>
      <name val="Aptos Narrow"/>
      <family val="2"/>
      <scheme val="minor"/>
    </font>
    <font>
      <b/>
      <sz val="8"/>
      <name val="Maiandra GD"/>
      <family val="2"/>
    </font>
  </fonts>
  <fills count="16">
    <fill>
      <patternFill patternType="none"/>
    </fill>
    <fill>
      <patternFill patternType="gray125"/>
    </fill>
    <fill>
      <patternFill patternType="solid">
        <fgColor rgb="FFC6EFCE"/>
      </patternFill>
    </fill>
    <fill>
      <patternFill patternType="solid">
        <fgColor rgb="FF585858"/>
        <bgColor indexed="64"/>
      </patternFill>
    </fill>
    <fill>
      <patternFill patternType="solid">
        <fgColor rgb="FFDDD9C4"/>
        <bgColor indexed="64"/>
      </patternFill>
    </fill>
    <fill>
      <patternFill patternType="solid">
        <fgColor rgb="FFC4BC96"/>
        <bgColor indexed="64"/>
      </patternFill>
    </fill>
    <fill>
      <patternFill patternType="solid">
        <fgColor rgb="FFDAEDF3"/>
        <bgColor indexed="64"/>
      </patternFill>
    </fill>
    <fill>
      <patternFill patternType="solid">
        <fgColor rgb="FFB7DEE8"/>
        <bgColor indexed="64"/>
      </patternFill>
    </fill>
    <fill>
      <patternFill patternType="solid">
        <fgColor rgb="FFEBF0DE"/>
        <bgColor indexed="64"/>
      </patternFill>
    </fill>
    <fill>
      <patternFill patternType="solid">
        <fgColor theme="9" tint="0.59999389629810485"/>
        <bgColor indexed="64"/>
      </patternFill>
    </fill>
    <fill>
      <patternFill patternType="solid">
        <fgColor rgb="FFC4D69B"/>
        <bgColor indexed="64"/>
      </patternFill>
    </fill>
    <fill>
      <patternFill patternType="solid">
        <fgColor rgb="FF938953"/>
        <bgColor indexed="64"/>
      </patternFill>
    </fill>
    <fill>
      <patternFill patternType="solid">
        <fgColor rgb="FF76923B"/>
        <bgColor indexed="64"/>
      </patternFill>
    </fill>
    <fill>
      <patternFill patternType="solid">
        <fgColor rgb="FFFFCC99"/>
        <bgColor indexed="64"/>
      </patternFill>
    </fill>
    <fill>
      <patternFill patternType="solid">
        <fgColor rgb="FFF1DCDB"/>
        <bgColor indexed="64"/>
      </patternFill>
    </fill>
    <fill>
      <patternFill patternType="solid">
        <fgColor rgb="FFFF3300"/>
        <bgColor indexed="64"/>
      </patternFill>
    </fill>
  </fills>
  <borders count="13">
    <border>
      <left/>
      <right/>
      <top/>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style="thin">
        <color rgb="FF008000"/>
      </right>
      <top style="thin">
        <color rgb="FFD9D9D9"/>
      </top>
      <bottom style="thin">
        <color rgb="FFD9D9D9"/>
      </bottom>
      <diagonal/>
    </border>
    <border>
      <left style="thin">
        <color rgb="FF008000"/>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style="thin">
        <color rgb="FFD9D9D9"/>
      </right>
      <top style="thin">
        <color rgb="FFD9D9D9"/>
      </top>
      <bottom/>
      <diagonal/>
    </border>
    <border>
      <left/>
      <right/>
      <top style="thin">
        <color rgb="FFD9D9D9"/>
      </top>
      <bottom/>
      <diagonal/>
    </border>
  </borders>
  <cellStyleXfs count="2">
    <xf numFmtId="0" fontId="0" fillId="0" borderId="0"/>
    <xf numFmtId="0" fontId="1" fillId="2" borderId="0" applyNumberFormat="0" applyBorder="0" applyAlignment="0" applyProtection="0"/>
  </cellStyleXfs>
  <cellXfs count="77">
    <xf numFmtId="0" fontId="0" fillId="0" borderId="0" xfId="0"/>
    <xf numFmtId="0" fontId="8" fillId="0" borderId="0" xfId="0" applyFont="1" applyAlignment="1">
      <alignment horizontal="left" vertical="center"/>
    </xf>
    <xf numFmtId="0" fontId="9" fillId="0" borderId="0" xfId="0" applyFont="1"/>
    <xf numFmtId="0" fontId="10" fillId="0" borderId="0" xfId="0" applyFont="1" applyAlignment="1">
      <alignment vertical="center"/>
    </xf>
    <xf numFmtId="0" fontId="6" fillId="15" borderId="0" xfId="0" applyFont="1" applyFill="1" applyAlignment="1">
      <alignment vertical="center"/>
    </xf>
    <xf numFmtId="0" fontId="11" fillId="4" borderId="0" xfId="0" applyFont="1" applyFill="1" applyAlignment="1">
      <alignment vertical="center"/>
    </xf>
    <xf numFmtId="0" fontId="11" fillId="5" borderId="0" xfId="0" applyFont="1" applyFill="1" applyAlignment="1">
      <alignment horizontal="center" vertical="center"/>
    </xf>
    <xf numFmtId="0" fontId="8" fillId="4" borderId="0" xfId="0" applyFont="1" applyFill="1" applyAlignment="1">
      <alignment horizontal="left" vertical="center"/>
    </xf>
    <xf numFmtId="0" fontId="11" fillId="5" borderId="0" xfId="0" applyFont="1" applyFill="1" applyAlignment="1">
      <alignment vertical="center"/>
    </xf>
    <xf numFmtId="0" fontId="8" fillId="4" borderId="0" xfId="0" applyFont="1" applyFill="1" applyAlignment="1">
      <alignment vertical="center"/>
    </xf>
    <xf numFmtId="0" fontId="12" fillId="15" borderId="0" xfId="0" applyFont="1" applyFill="1" applyAlignment="1">
      <alignment vertical="center"/>
    </xf>
    <xf numFmtId="0" fontId="11" fillId="0" borderId="0" xfId="0" applyFont="1" applyAlignment="1">
      <alignment vertical="center"/>
    </xf>
    <xf numFmtId="0" fontId="13" fillId="15" borderId="0" xfId="0" applyFont="1" applyFill="1" applyAlignment="1">
      <alignment vertical="center"/>
    </xf>
    <xf numFmtId="0" fontId="14" fillId="2" borderId="3" xfId="1" applyFont="1" applyBorder="1" applyAlignment="1">
      <alignment horizontal="center" vertical="center"/>
    </xf>
    <xf numFmtId="0" fontId="14" fillId="2" borderId="3" xfId="1" applyFont="1" applyBorder="1" applyAlignment="1">
      <alignment horizontal="left" vertical="center"/>
    </xf>
    <xf numFmtId="1" fontId="14" fillId="2" borderId="3" xfId="1" applyNumberFormat="1" applyFont="1" applyBorder="1" applyAlignment="1">
      <alignment horizontal="center" vertical="center" shrinkToFit="1"/>
    </xf>
    <xf numFmtId="0" fontId="15" fillId="15" borderId="3" xfId="1" applyFont="1" applyFill="1" applyBorder="1" applyAlignment="1">
      <alignment horizontal="center" vertical="center"/>
    </xf>
    <xf numFmtId="0" fontId="14" fillId="2" borderId="0" xfId="1" applyFont="1" applyAlignment="1">
      <alignment horizontal="left" vertical="center"/>
    </xf>
    <xf numFmtId="0" fontId="14" fillId="2" borderId="0" xfId="1" applyFont="1" applyAlignment="1"/>
    <xf numFmtId="0" fontId="11" fillId="6" borderId="3" xfId="0" applyFont="1" applyFill="1" applyBorder="1" applyAlignment="1">
      <alignment horizontal="center" vertical="center"/>
    </xf>
    <xf numFmtId="0" fontId="8" fillId="6" borderId="3" xfId="0" applyFont="1" applyFill="1" applyBorder="1" applyAlignment="1">
      <alignment horizontal="left" vertical="center"/>
    </xf>
    <xf numFmtId="1" fontId="16" fillId="6" borderId="3" xfId="0" applyNumberFormat="1" applyFont="1" applyFill="1" applyBorder="1" applyAlignment="1">
      <alignment horizontal="center" vertical="center" shrinkToFi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11" fillId="7" borderId="3" xfId="0" applyFont="1" applyFill="1" applyBorder="1" applyAlignment="1">
      <alignment horizontal="center" vertical="center"/>
    </xf>
    <xf numFmtId="0" fontId="13" fillId="15" borderId="3" xfId="0" applyFont="1" applyFill="1" applyBorder="1" applyAlignment="1">
      <alignment horizontal="center" vertical="center"/>
    </xf>
    <xf numFmtId="0" fontId="11" fillId="8" borderId="3" xfId="0" applyFont="1" applyFill="1" applyBorder="1" applyAlignment="1">
      <alignment horizontal="center" vertical="center"/>
    </xf>
    <xf numFmtId="0" fontId="14" fillId="2" borderId="4" xfId="1" applyFont="1" applyBorder="1" applyAlignment="1">
      <alignment horizontal="center" vertical="center"/>
    </xf>
    <xf numFmtId="0" fontId="14" fillId="2" borderId="5" xfId="1" applyFont="1" applyBorder="1" applyAlignment="1">
      <alignment horizontal="center" vertical="center"/>
    </xf>
    <xf numFmtId="0" fontId="11" fillId="9" borderId="3" xfId="0" applyFont="1" applyFill="1" applyBorder="1" applyAlignment="1">
      <alignment horizontal="center" vertical="center"/>
    </xf>
    <xf numFmtId="0" fontId="8" fillId="9" borderId="3" xfId="0" applyFont="1" applyFill="1" applyBorder="1" applyAlignment="1">
      <alignment horizontal="left" vertical="center"/>
    </xf>
    <xf numFmtId="1" fontId="16" fillId="9" borderId="3" xfId="0" applyNumberFormat="1" applyFont="1" applyFill="1" applyBorder="1" applyAlignment="1">
      <alignment horizontal="center" vertical="center" shrinkToFit="1"/>
    </xf>
    <xf numFmtId="0" fontId="8" fillId="9" borderId="0" xfId="0" applyFont="1" applyFill="1" applyAlignment="1">
      <alignment horizontal="left" vertical="center"/>
    </xf>
    <xf numFmtId="0" fontId="9" fillId="9" borderId="0" xfId="0" applyFont="1" applyFill="1"/>
    <xf numFmtId="0" fontId="8" fillId="0" borderId="3" xfId="0" applyFont="1" applyBorder="1" applyAlignment="1">
      <alignment horizontal="left" vertical="center"/>
    </xf>
    <xf numFmtId="0" fontId="12" fillId="15" borderId="3" xfId="0" applyFont="1" applyFill="1" applyBorder="1" applyAlignment="1">
      <alignment horizontal="left" vertical="center"/>
    </xf>
    <xf numFmtId="0" fontId="8" fillId="0" borderId="6" xfId="0" applyFont="1" applyBorder="1" applyAlignment="1">
      <alignment horizontal="left" vertical="center"/>
    </xf>
    <xf numFmtId="0" fontId="11" fillId="0" borderId="3" xfId="0" applyFont="1" applyBorder="1" applyAlignment="1">
      <alignment horizontal="center" vertical="center"/>
    </xf>
    <xf numFmtId="1" fontId="16" fillId="0" borderId="3" xfId="0" applyNumberFormat="1" applyFont="1" applyBorder="1" applyAlignment="1">
      <alignment horizontal="center" vertical="center" shrinkToFit="1"/>
    </xf>
    <xf numFmtId="0" fontId="11" fillId="10" borderId="0" xfId="0" applyFont="1" applyFill="1" applyAlignment="1">
      <alignment horizontal="center" vertical="center"/>
    </xf>
    <xf numFmtId="0" fontId="12" fillId="15" borderId="0" xfId="0" applyFont="1" applyFill="1" applyAlignment="1">
      <alignment horizontal="left" vertical="center"/>
    </xf>
    <xf numFmtId="0" fontId="8" fillId="0" borderId="0" xfId="0" applyFont="1" applyAlignment="1">
      <alignment vertical="center"/>
    </xf>
    <xf numFmtId="0" fontId="17" fillId="5" borderId="0" xfId="0" applyFont="1" applyFill="1" applyAlignment="1">
      <alignment vertical="center"/>
    </xf>
    <xf numFmtId="0" fontId="18" fillId="11" borderId="0" xfId="0" applyFont="1" applyFill="1" applyAlignment="1">
      <alignment horizontal="center" vertical="center"/>
    </xf>
    <xf numFmtId="0" fontId="8" fillId="5" borderId="0" xfId="0" applyFont="1" applyFill="1" applyAlignment="1">
      <alignment horizontal="left" vertical="center"/>
    </xf>
    <xf numFmtId="0" fontId="8" fillId="5" borderId="0" xfId="0" applyFont="1" applyFill="1" applyAlignment="1">
      <alignment vertical="center"/>
    </xf>
    <xf numFmtId="0" fontId="17" fillId="12" borderId="0" xfId="0" applyFont="1" applyFill="1" applyAlignment="1">
      <alignment horizontal="center" vertical="center"/>
    </xf>
    <xf numFmtId="0" fontId="15" fillId="15" borderId="0" xfId="0" applyFont="1" applyFill="1"/>
    <xf numFmtId="0" fontId="2" fillId="3"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8" fillId="0" borderId="0" xfId="0" applyFont="1" applyAlignment="1">
      <alignment horizontal="left" vertical="center" wrapText="1"/>
    </xf>
    <xf numFmtId="0" fontId="9" fillId="0" borderId="0" xfId="0" applyFont="1" applyAlignment="1">
      <alignment wrapText="1"/>
    </xf>
    <xf numFmtId="0" fontId="19" fillId="13" borderId="0" xfId="0" applyFont="1" applyFill="1" applyAlignment="1">
      <alignment horizontal="left" vertical="top"/>
    </xf>
    <xf numFmtId="0" fontId="20" fillId="0" borderId="0" xfId="0" applyFont="1"/>
    <xf numFmtId="0" fontId="21" fillId="3" borderId="8" xfId="0" applyFont="1" applyFill="1" applyBorder="1" applyAlignment="1">
      <alignment horizontal="left" vertical="top"/>
    </xf>
    <xf numFmtId="0" fontId="22" fillId="3" borderId="9" xfId="0" applyFont="1" applyFill="1" applyBorder="1" applyAlignment="1">
      <alignment horizontal="center" vertical="top"/>
    </xf>
    <xf numFmtId="0" fontId="21" fillId="3" borderId="9" xfId="0" applyFont="1" applyFill="1" applyBorder="1" applyAlignment="1">
      <alignment horizontal="left" vertical="top"/>
    </xf>
    <xf numFmtId="0" fontId="24" fillId="3" borderId="10" xfId="0" applyFont="1" applyFill="1" applyBorder="1" applyAlignment="1">
      <alignment horizontal="left" vertical="top"/>
    </xf>
    <xf numFmtId="0" fontId="19" fillId="14" borderId="6" xfId="0" applyFont="1" applyFill="1" applyBorder="1" applyAlignment="1">
      <alignment horizontal="left" vertical="top"/>
    </xf>
    <xf numFmtId="0" fontId="19" fillId="14" borderId="7" xfId="0" applyFont="1" applyFill="1" applyBorder="1" applyAlignment="1">
      <alignment horizontal="left" vertical="top"/>
    </xf>
    <xf numFmtId="0" fontId="19" fillId="14" borderId="3" xfId="0" applyFont="1" applyFill="1" applyBorder="1" applyAlignment="1">
      <alignment horizontal="center" vertical="top"/>
    </xf>
    <xf numFmtId="0" fontId="25" fillId="14" borderId="12" xfId="0" applyFont="1" applyFill="1" applyBorder="1" applyAlignment="1">
      <alignment horizontal="left" vertical="center"/>
    </xf>
    <xf numFmtId="0" fontId="25" fillId="14" borderId="11" xfId="0" applyFont="1" applyFill="1" applyBorder="1" applyAlignment="1">
      <alignment horizontal="left" vertical="center"/>
    </xf>
    <xf numFmtId="0" fontId="19" fillId="0" borderId="6" xfId="0" applyFont="1" applyBorder="1" applyAlignment="1">
      <alignment horizontal="left" vertical="top"/>
    </xf>
    <xf numFmtId="0" fontId="19" fillId="0" borderId="7" xfId="0" applyFont="1" applyBorder="1" applyAlignment="1">
      <alignment horizontal="left" vertical="top"/>
    </xf>
    <xf numFmtId="0" fontId="25" fillId="0" borderId="3" xfId="0" applyFont="1" applyBorder="1" applyAlignment="1">
      <alignment horizontal="left" vertical="center"/>
    </xf>
    <xf numFmtId="0" fontId="19" fillId="0" borderId="3" xfId="0" applyFont="1" applyBorder="1" applyAlignment="1">
      <alignment horizontal="center" vertical="top"/>
    </xf>
    <xf numFmtId="0" fontId="25" fillId="14" borderId="3" xfId="0" applyFont="1" applyFill="1" applyBorder="1" applyAlignment="1">
      <alignment horizontal="left" vertical="center"/>
    </xf>
    <xf numFmtId="0" fontId="26" fillId="5" borderId="0" xfId="0" applyFont="1" applyFill="1" applyAlignment="1">
      <alignment horizontal="left" vertical="top"/>
    </xf>
    <xf numFmtId="0" fontId="27" fillId="11" borderId="0" xfId="0" applyFont="1" applyFill="1" applyAlignment="1">
      <alignment horizontal="left" vertical="top"/>
    </xf>
    <xf numFmtId="0" fontId="28" fillId="0" borderId="2" xfId="0" applyFont="1" applyFill="1" applyBorder="1" applyAlignment="1">
      <alignment horizontal="left" vertical="center" wrapText="1"/>
    </xf>
    <xf numFmtId="0" fontId="29" fillId="0" borderId="3" xfId="1" applyFont="1" applyFill="1" applyBorder="1" applyAlignment="1">
      <alignment horizontal="center" vertical="center"/>
    </xf>
    <xf numFmtId="0" fontId="30" fillId="0" borderId="3" xfId="0" applyFont="1" applyFill="1" applyBorder="1" applyAlignment="1">
      <alignment horizontal="center" vertical="center"/>
    </xf>
    <xf numFmtId="0" fontId="29" fillId="0" borderId="0" xfId="0" applyFont="1" applyFill="1"/>
  </cellXfs>
  <cellStyles count="2">
    <cellStyle name="Good" xfId="1" builtinId="26"/>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144780</xdr:colOff>
      <xdr:row>23</xdr:row>
      <xdr:rowOff>38100</xdr:rowOff>
    </xdr:to>
    <xdr:pic>
      <xdr:nvPicPr>
        <xdr:cNvPr id="3073" name="Picture 1">
          <a:extLst>
            <a:ext uri="{FF2B5EF4-FFF2-40B4-BE49-F238E27FC236}">
              <a16:creationId xmlns:a16="http://schemas.microsoft.com/office/drawing/2014/main" id="{43C36540-2142-5C77-2EC7-1D71E9BA3B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802380" cy="424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3B7DE-0E91-4AE3-8967-77E1C3A7DC22}">
  <sheetPr filterMode="1"/>
  <dimension ref="A1:O41"/>
  <sheetViews>
    <sheetView tabSelected="1" zoomScale="115" zoomScaleNormal="115" workbookViewId="0">
      <selection activeCell="D21" sqref="D21"/>
    </sheetView>
  </sheetViews>
  <sheetFormatPr defaultColWidth="8.77734375" defaultRowHeight="10.8"/>
  <cols>
    <col min="1" max="12" width="8.77734375" style="2"/>
    <col min="13" max="13" width="8.77734375" style="76"/>
    <col min="14" max="16384" width="8.77734375" style="2"/>
  </cols>
  <sheetData>
    <row r="1" spans="1:15" s="54" customFormat="1" ht="73.05" customHeight="1">
      <c r="A1" s="48" t="s">
        <v>6</v>
      </c>
      <c r="B1" s="49" t="s">
        <v>7</v>
      </c>
      <c r="C1" s="50" t="s">
        <v>8</v>
      </c>
      <c r="D1" s="49" t="s">
        <v>0</v>
      </c>
      <c r="E1" s="49" t="s">
        <v>1</v>
      </c>
      <c r="F1" s="49" t="s">
        <v>2</v>
      </c>
      <c r="G1" s="51" t="s">
        <v>9</v>
      </c>
      <c r="H1" s="52" t="s">
        <v>69</v>
      </c>
      <c r="I1" s="51" t="s">
        <v>10</v>
      </c>
      <c r="J1" s="52" t="s">
        <v>11</v>
      </c>
      <c r="K1" s="49" t="s">
        <v>12</v>
      </c>
      <c r="L1" s="51" t="s">
        <v>13</v>
      </c>
      <c r="M1" s="73" t="s">
        <v>68</v>
      </c>
      <c r="N1" s="52" t="s">
        <v>70</v>
      </c>
      <c r="O1" s="53"/>
    </row>
    <row r="2" spans="1:15" ht="14.55" hidden="1" customHeight="1">
      <c r="A2" s="3" t="s">
        <v>64</v>
      </c>
      <c r="B2" s="3"/>
      <c r="C2" s="3"/>
      <c r="D2" s="3"/>
      <c r="E2" s="3"/>
      <c r="F2" s="3"/>
      <c r="G2" s="3"/>
      <c r="H2" s="3"/>
      <c r="I2" s="3"/>
      <c r="J2" s="3"/>
      <c r="K2" s="3"/>
      <c r="L2" s="3"/>
      <c r="M2" s="4"/>
      <c r="N2" s="3"/>
      <c r="O2" s="3"/>
    </row>
    <row r="3" spans="1:15" ht="14.55" hidden="1" customHeight="1">
      <c r="A3" s="5" t="s">
        <v>14</v>
      </c>
      <c r="B3" s="5"/>
      <c r="C3" s="5"/>
      <c r="D3" s="5"/>
      <c r="E3" s="5"/>
      <c r="F3" s="5"/>
      <c r="G3" s="6">
        <v>0</v>
      </c>
      <c r="H3" s="7"/>
      <c r="I3" s="8" t="s">
        <v>65</v>
      </c>
      <c r="J3" s="8"/>
      <c r="K3" s="8"/>
      <c r="L3" s="9"/>
      <c r="M3" s="10"/>
      <c r="N3" s="6" t="s">
        <v>15</v>
      </c>
      <c r="O3" s="1"/>
    </row>
    <row r="4" spans="1:15" ht="14.55" hidden="1" customHeight="1">
      <c r="A4" s="11" t="s">
        <v>3</v>
      </c>
      <c r="B4" s="11"/>
      <c r="C4" s="11"/>
      <c r="D4" s="11"/>
      <c r="E4" s="11"/>
      <c r="F4" s="11"/>
      <c r="G4" s="11"/>
      <c r="H4" s="11"/>
      <c r="I4" s="11"/>
      <c r="J4" s="11"/>
      <c r="K4" s="11"/>
      <c r="L4" s="11"/>
      <c r="M4" s="12"/>
      <c r="N4" s="11"/>
      <c r="O4" s="11"/>
    </row>
    <row r="5" spans="1:15" s="18" customFormat="1" hidden="1">
      <c r="A5" s="13" t="s">
        <v>16</v>
      </c>
      <c r="B5" s="13" t="s">
        <v>17</v>
      </c>
      <c r="C5" s="13" t="s">
        <v>66</v>
      </c>
      <c r="D5" s="14"/>
      <c r="E5" s="15">
        <v>8</v>
      </c>
      <c r="F5" s="15">
        <v>3</v>
      </c>
      <c r="G5" s="13">
        <v>24</v>
      </c>
      <c r="H5" s="15">
        <v>1</v>
      </c>
      <c r="I5" s="13">
        <v>17.399999999999999</v>
      </c>
      <c r="J5" s="13" t="s">
        <v>4</v>
      </c>
      <c r="K5" s="13">
        <v>17.399999999999999</v>
      </c>
      <c r="L5" s="13">
        <v>0.22</v>
      </c>
      <c r="M5" s="74">
        <v>0.37</v>
      </c>
      <c r="N5" s="13" t="s">
        <v>5</v>
      </c>
      <c r="O5" s="17"/>
    </row>
    <row r="6" spans="1:15">
      <c r="A6" s="19" t="s">
        <v>18</v>
      </c>
      <c r="B6" s="19" t="s">
        <v>17</v>
      </c>
      <c r="C6" s="19" t="s">
        <v>19</v>
      </c>
      <c r="D6" s="20"/>
      <c r="E6" s="21">
        <v>3</v>
      </c>
      <c r="F6" s="19">
        <v>2.2000000000000002</v>
      </c>
      <c r="G6" s="20"/>
      <c r="H6" s="21">
        <v>1</v>
      </c>
      <c r="I6" s="19" t="s">
        <v>4</v>
      </c>
      <c r="J6" s="22">
        <v>6.6</v>
      </c>
      <c r="K6" s="23">
        <v>6.6</v>
      </c>
      <c r="L6" s="24">
        <v>1.1399999999999999</v>
      </c>
      <c r="M6" s="25">
        <v>1.8</v>
      </c>
      <c r="N6" s="26" t="s">
        <v>5</v>
      </c>
      <c r="O6" s="1"/>
    </row>
    <row r="7" spans="1:15" s="18" customFormat="1" hidden="1">
      <c r="A7" s="13" t="s">
        <v>20</v>
      </c>
      <c r="B7" s="13" t="s">
        <v>17</v>
      </c>
      <c r="C7" s="13" t="s">
        <v>66</v>
      </c>
      <c r="D7" s="14"/>
      <c r="E7" s="15">
        <v>8</v>
      </c>
      <c r="F7" s="15">
        <v>3</v>
      </c>
      <c r="G7" s="13">
        <v>24</v>
      </c>
      <c r="H7" s="15">
        <v>1</v>
      </c>
      <c r="I7" s="13">
        <v>17.399999999999999</v>
      </c>
      <c r="J7" s="13" t="s">
        <v>4</v>
      </c>
      <c r="K7" s="13">
        <v>17.399999999999999</v>
      </c>
      <c r="L7" s="13">
        <v>0.22</v>
      </c>
      <c r="M7" s="74">
        <v>0.37</v>
      </c>
      <c r="N7" s="13" t="s">
        <v>5</v>
      </c>
      <c r="O7" s="17"/>
    </row>
    <row r="8" spans="1:15">
      <c r="A8" s="19" t="s">
        <v>21</v>
      </c>
      <c r="B8" s="19" t="s">
        <v>17</v>
      </c>
      <c r="C8" s="19" t="s">
        <v>19</v>
      </c>
      <c r="D8" s="20"/>
      <c r="E8" s="21">
        <v>3</v>
      </c>
      <c r="F8" s="19">
        <v>2.2000000000000002</v>
      </c>
      <c r="G8" s="20"/>
      <c r="H8" s="21">
        <v>1</v>
      </c>
      <c r="I8" s="19" t="s">
        <v>4</v>
      </c>
      <c r="J8" s="19">
        <v>6.6</v>
      </c>
      <c r="K8" s="19">
        <v>6.6</v>
      </c>
      <c r="L8" s="24">
        <v>1.1399999999999999</v>
      </c>
      <c r="M8" s="25">
        <v>1.8</v>
      </c>
      <c r="N8" s="26" t="s">
        <v>5</v>
      </c>
      <c r="O8" s="1"/>
    </row>
    <row r="9" spans="1:15" s="18" customFormat="1" hidden="1">
      <c r="A9" s="13" t="s">
        <v>22</v>
      </c>
      <c r="B9" s="13" t="s">
        <v>17</v>
      </c>
      <c r="C9" s="13" t="s">
        <v>66</v>
      </c>
      <c r="D9" s="14"/>
      <c r="E9" s="15">
        <v>8</v>
      </c>
      <c r="F9" s="15">
        <v>3</v>
      </c>
      <c r="G9" s="13">
        <v>24</v>
      </c>
      <c r="H9" s="15">
        <v>1</v>
      </c>
      <c r="I9" s="13">
        <v>13</v>
      </c>
      <c r="J9" s="27" t="s">
        <v>4</v>
      </c>
      <c r="K9" s="28">
        <v>13</v>
      </c>
      <c r="L9" s="13">
        <v>0.22</v>
      </c>
      <c r="M9" s="74">
        <v>0.37</v>
      </c>
      <c r="N9" s="13" t="s">
        <v>5</v>
      </c>
      <c r="O9" s="17"/>
    </row>
    <row r="10" spans="1:15" s="33" customFormat="1">
      <c r="A10" s="29" t="s">
        <v>23</v>
      </c>
      <c r="B10" s="29" t="s">
        <v>17</v>
      </c>
      <c r="C10" s="29" t="s">
        <v>19</v>
      </c>
      <c r="D10" s="30"/>
      <c r="E10" s="31">
        <v>5</v>
      </c>
      <c r="F10" s="29">
        <v>2.2000000000000002</v>
      </c>
      <c r="G10" s="30"/>
      <c r="H10" s="31">
        <v>1</v>
      </c>
      <c r="I10" s="29" t="s">
        <v>4</v>
      </c>
      <c r="J10" s="29">
        <v>11</v>
      </c>
      <c r="K10" s="29">
        <v>11</v>
      </c>
      <c r="L10" s="29">
        <v>1.1399999999999999</v>
      </c>
      <c r="M10" s="25">
        <v>1.8</v>
      </c>
      <c r="N10" s="29" t="s">
        <v>5</v>
      </c>
      <c r="O10" s="32"/>
    </row>
    <row r="11" spans="1:15" s="18" customFormat="1" hidden="1">
      <c r="A11" s="13" t="s">
        <v>24</v>
      </c>
      <c r="B11" s="13" t="s">
        <v>17</v>
      </c>
      <c r="C11" s="13" t="s">
        <v>66</v>
      </c>
      <c r="D11" s="14"/>
      <c r="E11" s="15">
        <v>8</v>
      </c>
      <c r="F11" s="15">
        <v>3</v>
      </c>
      <c r="G11" s="13">
        <v>24</v>
      </c>
      <c r="H11" s="15">
        <v>1</v>
      </c>
      <c r="I11" s="13">
        <v>19.600000000000001</v>
      </c>
      <c r="J11" s="13" t="s">
        <v>4</v>
      </c>
      <c r="K11" s="13">
        <v>19.600000000000001</v>
      </c>
      <c r="L11" s="13">
        <v>0.22</v>
      </c>
      <c r="M11" s="74">
        <v>0.37</v>
      </c>
      <c r="N11" s="13" t="s">
        <v>5</v>
      </c>
      <c r="O11" s="17"/>
    </row>
    <row r="12" spans="1:15">
      <c r="A12" s="19" t="s">
        <v>25</v>
      </c>
      <c r="B12" s="19" t="s">
        <v>17</v>
      </c>
      <c r="C12" s="19" t="s">
        <v>26</v>
      </c>
      <c r="D12" s="20"/>
      <c r="E12" s="21">
        <v>1</v>
      </c>
      <c r="F12" s="19">
        <v>2.2000000000000002</v>
      </c>
      <c r="G12" s="20"/>
      <c r="H12" s="21">
        <v>1</v>
      </c>
      <c r="I12" s="19" t="s">
        <v>4</v>
      </c>
      <c r="J12" s="19">
        <v>2.2000000000000002</v>
      </c>
      <c r="K12" s="19">
        <v>2.2000000000000002</v>
      </c>
      <c r="L12" s="24">
        <v>2.2000000000000002</v>
      </c>
      <c r="M12" s="25">
        <v>5.7</v>
      </c>
      <c r="N12" s="26" t="s">
        <v>5</v>
      </c>
      <c r="O12" s="1"/>
    </row>
    <row r="13" spans="1:15">
      <c r="A13" s="19" t="s">
        <v>27</v>
      </c>
      <c r="B13" s="19" t="s">
        <v>17</v>
      </c>
      <c r="C13" s="19" t="s">
        <v>19</v>
      </c>
      <c r="D13" s="20"/>
      <c r="E13" s="21">
        <v>1</v>
      </c>
      <c r="F13" s="19">
        <v>2.2000000000000002</v>
      </c>
      <c r="G13" s="20"/>
      <c r="H13" s="21">
        <v>1</v>
      </c>
      <c r="I13" s="19" t="s">
        <v>4</v>
      </c>
      <c r="J13" s="19">
        <v>2.2000000000000002</v>
      </c>
      <c r="K13" s="19">
        <v>2.2000000000000002</v>
      </c>
      <c r="L13" s="24">
        <v>1.1399999999999999</v>
      </c>
      <c r="M13" s="25">
        <v>1.8</v>
      </c>
      <c r="N13" s="26" t="s">
        <v>5</v>
      </c>
      <c r="O13" s="1"/>
    </row>
    <row r="14" spans="1:15" hidden="1">
      <c r="A14" s="34"/>
      <c r="B14" s="34"/>
      <c r="C14" s="34"/>
      <c r="D14" s="34"/>
      <c r="E14" s="34"/>
      <c r="F14" s="34"/>
      <c r="G14" s="34"/>
      <c r="H14" s="34"/>
      <c r="I14" s="34"/>
      <c r="J14" s="34"/>
      <c r="K14" s="34"/>
      <c r="L14" s="34"/>
      <c r="M14" s="35"/>
      <c r="N14" s="36"/>
      <c r="O14" s="1"/>
    </row>
    <row r="15" spans="1:15" hidden="1">
      <c r="A15" s="19" t="s">
        <v>28</v>
      </c>
      <c r="B15" s="19" t="s">
        <v>29</v>
      </c>
      <c r="C15" s="19" t="s">
        <v>30</v>
      </c>
      <c r="D15" s="21">
        <v>8</v>
      </c>
      <c r="E15" s="21">
        <v>8</v>
      </c>
      <c r="F15" s="20"/>
      <c r="G15" s="19">
        <v>64</v>
      </c>
      <c r="H15" s="21">
        <v>1</v>
      </c>
      <c r="I15" s="19">
        <v>64</v>
      </c>
      <c r="J15" s="20"/>
      <c r="K15" s="19">
        <v>64</v>
      </c>
      <c r="L15" s="24">
        <v>0.19</v>
      </c>
      <c r="M15" s="75">
        <v>0.59</v>
      </c>
      <c r="N15" s="26" t="s">
        <v>5</v>
      </c>
      <c r="O15" s="1"/>
    </row>
    <row r="16" spans="1:15" hidden="1">
      <c r="A16" s="37" t="s">
        <v>31</v>
      </c>
      <c r="B16" s="37" t="s">
        <v>29</v>
      </c>
      <c r="C16" s="37" t="s">
        <v>32</v>
      </c>
      <c r="D16" s="38">
        <v>8</v>
      </c>
      <c r="E16" s="38">
        <v>8</v>
      </c>
      <c r="F16" s="34"/>
      <c r="G16" s="37">
        <v>64</v>
      </c>
      <c r="H16" s="38">
        <v>0</v>
      </c>
      <c r="I16" s="37" t="s">
        <v>4</v>
      </c>
      <c r="J16" s="34"/>
      <c r="K16" s="37">
        <v>0</v>
      </c>
      <c r="L16" s="37">
        <v>0.37</v>
      </c>
      <c r="M16" s="75" t="s">
        <v>4</v>
      </c>
      <c r="N16" s="37" t="s">
        <v>4</v>
      </c>
      <c r="O16" s="1"/>
    </row>
    <row r="17" spans="1:15" hidden="1">
      <c r="M17" s="47"/>
    </row>
    <row r="18" spans="1:15" ht="14.55" hidden="1" customHeight="1">
      <c r="A18" s="5" t="s">
        <v>33</v>
      </c>
      <c r="B18" s="5"/>
      <c r="C18" s="5"/>
      <c r="D18" s="5"/>
      <c r="E18" s="5"/>
      <c r="F18" s="5"/>
      <c r="G18" s="6">
        <v>224</v>
      </c>
      <c r="H18" s="7"/>
      <c r="I18" s="8" t="s">
        <v>67</v>
      </c>
      <c r="J18" s="8"/>
      <c r="K18" s="8"/>
      <c r="L18" s="9"/>
      <c r="M18" s="10"/>
      <c r="N18" s="39" t="s">
        <v>5</v>
      </c>
      <c r="O18" s="1"/>
    </row>
    <row r="19" spans="1:15" ht="14.55" hidden="1" customHeight="1">
      <c r="A19" s="11" t="s">
        <v>34</v>
      </c>
      <c r="B19" s="11"/>
      <c r="C19" s="11"/>
      <c r="D19" s="11"/>
      <c r="E19" s="11"/>
      <c r="F19" s="11"/>
      <c r="G19" s="11"/>
      <c r="H19" s="11"/>
      <c r="I19" s="11"/>
      <c r="J19" s="11"/>
      <c r="K19" s="11"/>
      <c r="L19" s="11"/>
      <c r="M19" s="12"/>
      <c r="N19" s="11"/>
      <c r="O19" s="11"/>
    </row>
    <row r="20" spans="1:15" s="18" customFormat="1" hidden="1">
      <c r="A20" s="13" t="s">
        <v>16</v>
      </c>
      <c r="B20" s="13" t="s">
        <v>17</v>
      </c>
      <c r="C20" s="13" t="s">
        <v>66</v>
      </c>
      <c r="D20" s="14"/>
      <c r="E20" s="15">
        <v>8</v>
      </c>
      <c r="F20" s="13">
        <v>1.5</v>
      </c>
      <c r="G20" s="13">
        <v>12</v>
      </c>
      <c r="H20" s="15">
        <v>1</v>
      </c>
      <c r="I20" s="13">
        <v>10.5</v>
      </c>
      <c r="J20" s="13" t="s">
        <v>4</v>
      </c>
      <c r="K20" s="13">
        <v>10.5</v>
      </c>
      <c r="L20" s="13">
        <v>0.22</v>
      </c>
      <c r="M20" s="74">
        <v>0.37</v>
      </c>
      <c r="N20" s="13" t="s">
        <v>5</v>
      </c>
      <c r="O20" s="17"/>
    </row>
    <row r="21" spans="1:15">
      <c r="A21" s="19" t="s">
        <v>35</v>
      </c>
      <c r="B21" s="19" t="s">
        <v>17</v>
      </c>
      <c r="C21" s="19" t="s">
        <v>19</v>
      </c>
      <c r="D21" s="21">
        <v>1</v>
      </c>
      <c r="E21" s="20"/>
      <c r="F21" s="22">
        <v>1.5</v>
      </c>
      <c r="G21" s="23">
        <v>1.5</v>
      </c>
      <c r="H21" s="21">
        <v>1</v>
      </c>
      <c r="I21" s="19" t="s">
        <v>4</v>
      </c>
      <c r="J21" s="19">
        <v>1.5</v>
      </c>
      <c r="K21" s="19">
        <v>1.5</v>
      </c>
      <c r="L21" s="24">
        <v>1.29</v>
      </c>
      <c r="M21" s="25">
        <v>1.8</v>
      </c>
      <c r="N21" s="26" t="s">
        <v>5</v>
      </c>
      <c r="O21" s="1"/>
    </row>
    <row r="22" spans="1:15" s="18" customFormat="1" hidden="1">
      <c r="A22" s="13" t="s">
        <v>20</v>
      </c>
      <c r="B22" s="13" t="s">
        <v>17</v>
      </c>
      <c r="C22" s="13" t="s">
        <v>66</v>
      </c>
      <c r="D22" s="14"/>
      <c r="E22" s="15">
        <v>8</v>
      </c>
      <c r="F22" s="13">
        <v>1.5</v>
      </c>
      <c r="G22" s="13">
        <v>12</v>
      </c>
      <c r="H22" s="15">
        <v>1</v>
      </c>
      <c r="I22" s="13">
        <v>9</v>
      </c>
      <c r="J22" s="13" t="s">
        <v>4</v>
      </c>
      <c r="K22" s="13">
        <v>9</v>
      </c>
      <c r="L22" s="13">
        <v>0.22</v>
      </c>
      <c r="M22" s="74">
        <v>0.37</v>
      </c>
      <c r="N22" s="13" t="s">
        <v>5</v>
      </c>
      <c r="O22" s="17"/>
    </row>
    <row r="23" spans="1:15">
      <c r="A23" s="19" t="s">
        <v>36</v>
      </c>
      <c r="B23" s="19" t="s">
        <v>17</v>
      </c>
      <c r="C23" s="19" t="s">
        <v>19</v>
      </c>
      <c r="D23" s="21">
        <v>1</v>
      </c>
      <c r="E23" s="20"/>
      <c r="F23" s="19">
        <v>1.5</v>
      </c>
      <c r="G23" s="19">
        <v>1.5</v>
      </c>
      <c r="H23" s="21">
        <v>1</v>
      </c>
      <c r="I23" s="19" t="s">
        <v>4</v>
      </c>
      <c r="J23" s="19">
        <v>1.5</v>
      </c>
      <c r="K23" s="19">
        <v>1.5</v>
      </c>
      <c r="L23" s="24">
        <v>1.29</v>
      </c>
      <c r="M23" s="25">
        <v>1.8</v>
      </c>
      <c r="N23" s="26" t="s">
        <v>5</v>
      </c>
      <c r="O23" s="1"/>
    </row>
    <row r="24" spans="1:15">
      <c r="A24" s="19" t="s">
        <v>37</v>
      </c>
      <c r="B24" s="19" t="s">
        <v>17</v>
      </c>
      <c r="C24" s="19" t="s">
        <v>19</v>
      </c>
      <c r="D24" s="21">
        <v>1</v>
      </c>
      <c r="E24" s="20"/>
      <c r="F24" s="19">
        <v>1.5</v>
      </c>
      <c r="G24" s="19">
        <v>1.5</v>
      </c>
      <c r="H24" s="21">
        <v>1</v>
      </c>
      <c r="I24" s="19" t="s">
        <v>4</v>
      </c>
      <c r="J24" s="19">
        <v>1.5</v>
      </c>
      <c r="K24" s="19">
        <v>1.5</v>
      </c>
      <c r="L24" s="24">
        <v>1.29</v>
      </c>
      <c r="M24" s="25">
        <v>1.8</v>
      </c>
      <c r="N24" s="26" t="s">
        <v>5</v>
      </c>
      <c r="O24" s="1"/>
    </row>
    <row r="25" spans="1:15" s="18" customFormat="1" hidden="1">
      <c r="A25" s="13" t="s">
        <v>22</v>
      </c>
      <c r="B25" s="13" t="s">
        <v>17</v>
      </c>
      <c r="C25" s="13" t="s">
        <v>66</v>
      </c>
      <c r="D25" s="14"/>
      <c r="E25" s="15">
        <v>8</v>
      </c>
      <c r="F25" s="27">
        <v>1.5</v>
      </c>
      <c r="G25" s="28">
        <v>12</v>
      </c>
      <c r="H25" s="15">
        <v>1</v>
      </c>
      <c r="I25" s="13">
        <v>10.5</v>
      </c>
      <c r="J25" s="13" t="s">
        <v>4</v>
      </c>
      <c r="K25" s="13">
        <v>10.5</v>
      </c>
      <c r="L25" s="13">
        <v>0.22</v>
      </c>
      <c r="M25" s="74">
        <v>0.37</v>
      </c>
      <c r="N25" s="13" t="s">
        <v>5</v>
      </c>
      <c r="O25" s="17"/>
    </row>
    <row r="26" spans="1:15">
      <c r="A26" s="19" t="s">
        <v>38</v>
      </c>
      <c r="B26" s="19" t="s">
        <v>17</v>
      </c>
      <c r="C26" s="19" t="s">
        <v>19</v>
      </c>
      <c r="D26" s="21">
        <v>1</v>
      </c>
      <c r="E26" s="20"/>
      <c r="F26" s="19">
        <v>1.5</v>
      </c>
      <c r="G26" s="19">
        <v>1.5</v>
      </c>
      <c r="H26" s="21">
        <v>1</v>
      </c>
      <c r="I26" s="19" t="s">
        <v>4</v>
      </c>
      <c r="J26" s="19">
        <v>1.5</v>
      </c>
      <c r="K26" s="19">
        <v>1.5</v>
      </c>
      <c r="L26" s="24">
        <v>1.29</v>
      </c>
      <c r="M26" s="25">
        <v>1.8</v>
      </c>
      <c r="N26" s="26" t="s">
        <v>5</v>
      </c>
      <c r="O26" s="1"/>
    </row>
    <row r="27" spans="1:15" s="18" customFormat="1" hidden="1">
      <c r="A27" s="13" t="s">
        <v>24</v>
      </c>
      <c r="B27" s="13" t="s">
        <v>17</v>
      </c>
      <c r="C27" s="13" t="s">
        <v>66</v>
      </c>
      <c r="D27" s="14"/>
      <c r="E27" s="15">
        <v>8</v>
      </c>
      <c r="F27" s="13">
        <v>1.5</v>
      </c>
      <c r="G27" s="13">
        <v>12</v>
      </c>
      <c r="H27" s="15">
        <v>1</v>
      </c>
      <c r="I27" s="13">
        <v>12</v>
      </c>
      <c r="J27" s="13" t="s">
        <v>4</v>
      </c>
      <c r="K27" s="13">
        <v>12</v>
      </c>
      <c r="L27" s="13">
        <v>0.22</v>
      </c>
      <c r="M27" s="74">
        <v>0.37</v>
      </c>
      <c r="N27" s="13" t="s">
        <v>5</v>
      </c>
      <c r="O27" s="17"/>
    </row>
    <row r="28" spans="1:15" hidden="1">
      <c r="A28" s="37" t="s">
        <v>31</v>
      </c>
      <c r="B28" s="37" t="s">
        <v>29</v>
      </c>
      <c r="C28" s="37" t="s">
        <v>30</v>
      </c>
      <c r="D28" s="38">
        <v>8</v>
      </c>
      <c r="E28" s="38">
        <v>8</v>
      </c>
      <c r="F28" s="34"/>
      <c r="G28" s="37">
        <v>64</v>
      </c>
      <c r="H28" s="38">
        <v>0</v>
      </c>
      <c r="I28" s="37" t="s">
        <v>4</v>
      </c>
      <c r="J28" s="37" t="s">
        <v>4</v>
      </c>
      <c r="K28" s="38">
        <v>0</v>
      </c>
      <c r="L28" s="37">
        <v>0.37</v>
      </c>
      <c r="M28" s="75" t="s">
        <v>4</v>
      </c>
      <c r="N28" s="37" t="s">
        <v>4</v>
      </c>
      <c r="O28" s="1"/>
    </row>
    <row r="29" spans="1:15" s="18" customFormat="1" hidden="1">
      <c r="A29" s="13" t="s">
        <v>39</v>
      </c>
      <c r="B29" s="13" t="s">
        <v>17</v>
      </c>
      <c r="C29" s="13" t="s">
        <v>40</v>
      </c>
      <c r="D29" s="15">
        <v>8</v>
      </c>
      <c r="E29" s="14"/>
      <c r="F29" s="27">
        <v>5.65</v>
      </c>
      <c r="G29" s="28">
        <v>22.6</v>
      </c>
      <c r="H29" s="15">
        <v>1</v>
      </c>
      <c r="I29" s="13">
        <v>21.6</v>
      </c>
      <c r="J29" s="13" t="s">
        <v>4</v>
      </c>
      <c r="K29" s="13">
        <v>21.6</v>
      </c>
      <c r="L29" s="13">
        <v>0.17</v>
      </c>
      <c r="M29" s="16">
        <v>0.33</v>
      </c>
      <c r="N29" s="13" t="s">
        <v>5</v>
      </c>
      <c r="O29" s="17"/>
    </row>
    <row r="30" spans="1:15">
      <c r="A30" s="19" t="s">
        <v>41</v>
      </c>
      <c r="B30" s="19" t="s">
        <v>17</v>
      </c>
      <c r="C30" s="19" t="s">
        <v>42</v>
      </c>
      <c r="D30" s="21">
        <v>1</v>
      </c>
      <c r="E30" s="21">
        <v>1</v>
      </c>
      <c r="F30" s="20"/>
      <c r="G30" s="19">
        <v>1</v>
      </c>
      <c r="H30" s="21">
        <v>1</v>
      </c>
      <c r="I30" s="19" t="s">
        <v>4</v>
      </c>
      <c r="J30" s="19">
        <v>1</v>
      </c>
      <c r="K30" s="19">
        <v>1</v>
      </c>
      <c r="L30" s="24">
        <v>1.29</v>
      </c>
      <c r="M30" s="25">
        <v>1.8</v>
      </c>
      <c r="N30" s="26" t="s">
        <v>5</v>
      </c>
      <c r="O30" s="1"/>
    </row>
    <row r="31" spans="1:15" s="18" customFormat="1" hidden="1">
      <c r="A31" s="13" t="s">
        <v>43</v>
      </c>
      <c r="B31" s="13" t="s">
        <v>17</v>
      </c>
      <c r="C31" s="13" t="s">
        <v>40</v>
      </c>
      <c r="D31" s="15">
        <v>8</v>
      </c>
      <c r="E31" s="14"/>
      <c r="F31" s="27">
        <v>5.65</v>
      </c>
      <c r="G31" s="28">
        <v>22.6</v>
      </c>
      <c r="H31" s="15">
        <v>1</v>
      </c>
      <c r="I31" s="13">
        <v>20.6</v>
      </c>
      <c r="J31" s="13" t="s">
        <v>4</v>
      </c>
      <c r="K31" s="13">
        <v>20.6</v>
      </c>
      <c r="L31" s="13">
        <v>0.17</v>
      </c>
      <c r="M31" s="16">
        <v>0.33</v>
      </c>
      <c r="N31" s="13" t="s">
        <v>5</v>
      </c>
      <c r="O31" s="17"/>
    </row>
    <row r="32" spans="1:15">
      <c r="A32" s="19" t="s">
        <v>44</v>
      </c>
      <c r="B32" s="19" t="s">
        <v>17</v>
      </c>
      <c r="C32" s="19" t="s">
        <v>42</v>
      </c>
      <c r="D32" s="21">
        <v>1</v>
      </c>
      <c r="E32" s="21">
        <v>1</v>
      </c>
      <c r="F32" s="20"/>
      <c r="G32" s="19">
        <v>1</v>
      </c>
      <c r="H32" s="21">
        <v>1</v>
      </c>
      <c r="I32" s="19" t="s">
        <v>4</v>
      </c>
      <c r="J32" s="19">
        <v>1</v>
      </c>
      <c r="K32" s="19">
        <v>1</v>
      </c>
      <c r="L32" s="24">
        <v>1.29</v>
      </c>
      <c r="M32" s="25">
        <v>1.8</v>
      </c>
      <c r="N32" s="26" t="s">
        <v>5</v>
      </c>
      <c r="O32" s="1"/>
    </row>
    <row r="33" spans="1:15">
      <c r="A33" s="19" t="s">
        <v>45</v>
      </c>
      <c r="B33" s="19" t="s">
        <v>17</v>
      </c>
      <c r="C33" s="19" t="s">
        <v>42</v>
      </c>
      <c r="D33" s="21">
        <v>1</v>
      </c>
      <c r="E33" s="21">
        <v>1</v>
      </c>
      <c r="F33" s="20"/>
      <c r="G33" s="19">
        <v>1</v>
      </c>
      <c r="H33" s="21">
        <v>1</v>
      </c>
      <c r="I33" s="19" t="s">
        <v>4</v>
      </c>
      <c r="J33" s="19">
        <v>1</v>
      </c>
      <c r="K33" s="19">
        <v>1</v>
      </c>
      <c r="L33" s="24">
        <v>1.29</v>
      </c>
      <c r="M33" s="25">
        <v>1.8</v>
      </c>
      <c r="N33" s="26" t="s">
        <v>5</v>
      </c>
      <c r="O33" s="1"/>
    </row>
    <row r="34" spans="1:15" s="18" customFormat="1" hidden="1">
      <c r="A34" s="13" t="s">
        <v>46</v>
      </c>
      <c r="B34" s="13" t="s">
        <v>17</v>
      </c>
      <c r="C34" s="13" t="s">
        <v>40</v>
      </c>
      <c r="D34" s="15">
        <v>8</v>
      </c>
      <c r="E34" s="14"/>
      <c r="F34" s="13">
        <v>5.65</v>
      </c>
      <c r="G34" s="13">
        <v>22.6</v>
      </c>
      <c r="H34" s="15">
        <v>1</v>
      </c>
      <c r="I34" s="13">
        <v>21.6</v>
      </c>
      <c r="J34" s="13" t="s">
        <v>4</v>
      </c>
      <c r="K34" s="13">
        <v>21.6</v>
      </c>
      <c r="L34" s="13">
        <v>0.17</v>
      </c>
      <c r="M34" s="16">
        <v>0.33</v>
      </c>
      <c r="N34" s="13" t="s">
        <v>5</v>
      </c>
      <c r="O34" s="17"/>
    </row>
    <row r="35" spans="1:15">
      <c r="A35" s="19" t="s">
        <v>47</v>
      </c>
      <c r="B35" s="19" t="s">
        <v>17</v>
      </c>
      <c r="C35" s="19" t="s">
        <v>42</v>
      </c>
      <c r="D35" s="21">
        <v>1</v>
      </c>
      <c r="E35" s="21">
        <v>1</v>
      </c>
      <c r="F35" s="20"/>
      <c r="G35" s="19">
        <v>1</v>
      </c>
      <c r="H35" s="21">
        <v>1</v>
      </c>
      <c r="I35" s="19" t="s">
        <v>4</v>
      </c>
      <c r="J35" s="19">
        <v>1</v>
      </c>
      <c r="K35" s="19">
        <v>1</v>
      </c>
      <c r="L35" s="24">
        <v>1.29</v>
      </c>
      <c r="M35" s="25">
        <v>1.8</v>
      </c>
      <c r="N35" s="26" t="s">
        <v>5</v>
      </c>
      <c r="O35" s="1"/>
    </row>
    <row r="36" spans="1:15" s="18" customFormat="1" hidden="1">
      <c r="A36" s="13" t="s">
        <v>48</v>
      </c>
      <c r="B36" s="13" t="s">
        <v>17</v>
      </c>
      <c r="C36" s="13" t="s">
        <v>40</v>
      </c>
      <c r="D36" s="15">
        <v>8</v>
      </c>
      <c r="E36" s="14"/>
      <c r="F36" s="13">
        <v>5.65</v>
      </c>
      <c r="G36" s="13">
        <v>22.6</v>
      </c>
      <c r="H36" s="15">
        <v>1</v>
      </c>
      <c r="I36" s="13">
        <v>22.6</v>
      </c>
      <c r="J36" s="13" t="s">
        <v>4</v>
      </c>
      <c r="K36" s="13">
        <v>22.6</v>
      </c>
      <c r="L36" s="13">
        <v>0.17</v>
      </c>
      <c r="M36" s="16">
        <v>0.33</v>
      </c>
      <c r="N36" s="13" t="s">
        <v>5</v>
      </c>
      <c r="O36" s="17"/>
    </row>
    <row r="37" spans="1:15" hidden="1">
      <c r="A37" s="1"/>
      <c r="B37" s="1"/>
      <c r="C37" s="1"/>
      <c r="D37" s="1"/>
      <c r="E37" s="1"/>
      <c r="F37" s="1"/>
      <c r="G37" s="1"/>
      <c r="H37" s="1"/>
      <c r="I37" s="1"/>
      <c r="J37" s="1"/>
      <c r="K37" s="1"/>
      <c r="L37" s="1"/>
      <c r="M37" s="40"/>
      <c r="N37" s="1"/>
      <c r="O37" s="1"/>
    </row>
    <row r="38" spans="1:15" ht="14.55" hidden="1" customHeight="1">
      <c r="A38" s="5" t="s">
        <v>49</v>
      </c>
      <c r="B38" s="5"/>
      <c r="C38" s="5"/>
      <c r="D38" s="5"/>
      <c r="E38" s="5"/>
      <c r="F38" s="5"/>
      <c r="G38" s="6">
        <v>212.4</v>
      </c>
      <c r="H38" s="7"/>
      <c r="I38" s="6">
        <v>128.4</v>
      </c>
      <c r="J38" s="6">
        <v>10</v>
      </c>
      <c r="K38" s="6">
        <v>138.4</v>
      </c>
      <c r="L38" s="9"/>
      <c r="M38" s="10"/>
      <c r="N38" s="39" t="s">
        <v>5</v>
      </c>
      <c r="O38" s="1"/>
    </row>
    <row r="39" spans="1:15" hidden="1">
      <c r="A39" s="41"/>
      <c r="B39" s="41"/>
      <c r="C39" s="41"/>
      <c r="D39" s="41"/>
      <c r="E39" s="41"/>
      <c r="F39" s="41"/>
      <c r="G39" s="1"/>
      <c r="H39" s="1"/>
      <c r="I39" s="1"/>
      <c r="J39" s="1"/>
      <c r="K39" s="1"/>
      <c r="L39" s="41"/>
      <c r="M39" s="10"/>
      <c r="N39" s="1"/>
      <c r="O39" s="1"/>
    </row>
    <row r="40" spans="1:15" ht="14.55" hidden="1" customHeight="1">
      <c r="A40" s="42" t="s">
        <v>50</v>
      </c>
      <c r="B40" s="42"/>
      <c r="C40" s="42"/>
      <c r="D40" s="42"/>
      <c r="E40" s="42"/>
      <c r="F40" s="42"/>
      <c r="G40" s="43">
        <v>436.4</v>
      </c>
      <c r="H40" s="44"/>
      <c r="I40" s="43">
        <v>259.8</v>
      </c>
      <c r="J40" s="43">
        <v>38.6</v>
      </c>
      <c r="K40" s="43">
        <v>298.39999999999998</v>
      </c>
      <c r="L40" s="45">
        <f>SUMPRODUCT(L5:L36,K5:K36)/SUM(K5:K36)</f>
        <v>0.3309383378016087</v>
      </c>
      <c r="M40" s="10"/>
      <c r="N40" s="46" t="s">
        <v>5</v>
      </c>
      <c r="O40" s="1"/>
    </row>
    <row r="41" spans="1:15">
      <c r="K41" s="2">
        <f>SUM(K5:K36)</f>
        <v>298.40000000000003</v>
      </c>
    </row>
  </sheetData>
  <autoFilter ref="A1:O40" xr:uid="{3863B7DE-0E91-4AE3-8967-77E1C3A7DC22}">
    <filterColumn colId="2">
      <filters>
        <filter val="LUCERNARIO"/>
        <filter val="PUERTA"/>
        <filter val="VENTANA"/>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20040-16A8-4BC4-A026-CE2DA5998771}">
  <dimension ref="A1:G17"/>
  <sheetViews>
    <sheetView zoomScale="115" zoomScaleNormal="115" workbookViewId="0">
      <selection activeCell="H23" sqref="H23"/>
    </sheetView>
  </sheetViews>
  <sheetFormatPr defaultColWidth="8.77734375" defaultRowHeight="12"/>
  <cols>
    <col min="1" max="1" width="8.21875" style="56" customWidth="1"/>
    <col min="2" max="2" width="8.77734375" style="56"/>
    <col min="3" max="3" width="5.5546875" style="56" bestFit="1" customWidth="1"/>
    <col min="4" max="4" width="8.6640625" style="56" bestFit="1" customWidth="1"/>
    <col min="5" max="5" width="8.21875" style="56" customWidth="1"/>
    <col min="6" max="16384" width="8.77734375" style="56"/>
  </cols>
  <sheetData>
    <row r="1" spans="1:7">
      <c r="A1" s="55" t="s">
        <v>56</v>
      </c>
      <c r="B1" s="55"/>
      <c r="C1" s="55"/>
      <c r="D1" s="55"/>
      <c r="E1" s="55"/>
    </row>
    <row r="2" spans="1:7">
      <c r="A2" s="57" t="s">
        <v>51</v>
      </c>
      <c r="B2" s="57"/>
      <c r="C2" s="58" t="s">
        <v>71</v>
      </c>
      <c r="D2" s="59" t="s">
        <v>52</v>
      </c>
      <c r="E2" s="60" t="s">
        <v>72</v>
      </c>
    </row>
    <row r="3" spans="1:7">
      <c r="A3" s="61" t="s">
        <v>57</v>
      </c>
      <c r="B3" s="62"/>
      <c r="C3" s="63">
        <v>0.1</v>
      </c>
      <c r="D3" s="63">
        <v>32</v>
      </c>
      <c r="E3" s="63">
        <v>3.2</v>
      </c>
    </row>
    <row r="4" spans="1:7">
      <c r="A4" s="61" t="s">
        <v>58</v>
      </c>
      <c r="B4" s="62"/>
      <c r="C4" s="63">
        <v>0.22500000000000001</v>
      </c>
      <c r="D4" s="63">
        <v>32</v>
      </c>
      <c r="E4" s="63">
        <v>7.2</v>
      </c>
    </row>
    <row r="5" spans="1:7">
      <c r="A5" s="64"/>
      <c r="B5" s="64"/>
      <c r="C5" s="64"/>
      <c r="D5" s="65"/>
      <c r="E5" s="63">
        <v>0</v>
      </c>
    </row>
    <row r="6" spans="1:7">
      <c r="A6" s="61" t="s">
        <v>59</v>
      </c>
      <c r="B6" s="62"/>
      <c r="C6" s="63">
        <v>4.2999999999999997E-2</v>
      </c>
      <c r="D6" s="63">
        <v>40.6</v>
      </c>
      <c r="E6" s="63">
        <v>1.75</v>
      </c>
    </row>
    <row r="7" spans="1:7">
      <c r="A7" s="66" t="s">
        <v>60</v>
      </c>
      <c r="B7" s="67"/>
      <c r="C7" s="68"/>
      <c r="D7" s="68"/>
      <c r="E7" s="69">
        <v>0</v>
      </c>
    </row>
    <row r="8" spans="1:7">
      <c r="A8" s="66" t="s">
        <v>61</v>
      </c>
      <c r="B8" s="67"/>
      <c r="C8" s="68"/>
      <c r="D8" s="68"/>
      <c r="E8" s="69">
        <v>0</v>
      </c>
    </row>
    <row r="9" spans="1:7">
      <c r="A9" s="61" t="s">
        <v>62</v>
      </c>
      <c r="B9" s="62"/>
      <c r="C9" s="63">
        <v>0.51</v>
      </c>
      <c r="D9" s="63">
        <v>13</v>
      </c>
      <c r="E9" s="63">
        <v>6.63</v>
      </c>
    </row>
    <row r="10" spans="1:7">
      <c r="A10" s="70"/>
      <c r="B10" s="70"/>
      <c r="C10" s="63">
        <v>0.08</v>
      </c>
      <c r="D10" s="63">
        <v>4</v>
      </c>
      <c r="E10" s="63">
        <v>0.32</v>
      </c>
    </row>
    <row r="11" spans="1:7">
      <c r="A11" s="61" t="s">
        <v>63</v>
      </c>
      <c r="B11" s="62"/>
      <c r="C11" s="63">
        <v>0.01</v>
      </c>
      <c r="D11" s="63">
        <v>13</v>
      </c>
      <c r="E11" s="63">
        <v>0.13</v>
      </c>
    </row>
    <row r="12" spans="1:7">
      <c r="A12" s="70"/>
      <c r="B12" s="70"/>
      <c r="C12" s="63">
        <v>0.01</v>
      </c>
      <c r="D12" s="63">
        <v>4</v>
      </c>
      <c r="E12" s="63">
        <v>0.04</v>
      </c>
    </row>
    <row r="13" spans="1:7">
      <c r="A13" s="61" t="s">
        <v>53</v>
      </c>
      <c r="B13" s="62"/>
      <c r="C13" s="63">
        <v>0.02</v>
      </c>
      <c r="D13" s="63">
        <v>22</v>
      </c>
      <c r="E13" s="63">
        <v>0.44</v>
      </c>
    </row>
    <row r="14" spans="1:7">
      <c r="A14" s="70"/>
      <c r="B14" s="70"/>
      <c r="C14" s="63">
        <v>0.02</v>
      </c>
      <c r="D14" s="63">
        <v>20</v>
      </c>
      <c r="E14" s="63">
        <v>0.4</v>
      </c>
      <c r="F14" s="56">
        <f>SUM(D9:D14)</f>
        <v>76</v>
      </c>
      <c r="G14" s="56">
        <f>SUMPRODUCT(D9:D14,E9:E14)/F14</f>
        <v>1.4078947368421053</v>
      </c>
    </row>
    <row r="15" spans="1:7">
      <c r="A15" s="61" t="s">
        <v>54</v>
      </c>
      <c r="B15" s="62"/>
      <c r="C15" s="70"/>
      <c r="D15" s="70"/>
      <c r="E15" s="63">
        <v>0</v>
      </c>
    </row>
    <row r="16" spans="1:7">
      <c r="A16" s="66" t="s">
        <v>55</v>
      </c>
      <c r="B16" s="67"/>
      <c r="C16" s="68"/>
      <c r="D16" s="68"/>
      <c r="E16" s="69">
        <v>0</v>
      </c>
    </row>
    <row r="17" spans="1:5" ht="15">
      <c r="A17" s="71" t="s">
        <v>50</v>
      </c>
      <c r="B17" s="71"/>
      <c r="C17" s="71"/>
      <c r="D17" s="72">
        <v>180.6</v>
      </c>
      <c r="E17" s="72">
        <f>SUMPRODUCT(C3:C15,D3:D15)</f>
        <v>20.105799999999999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C64D-834D-4085-98E2-388F007C4E6C}">
  <dimension ref="A1"/>
  <sheetViews>
    <sheetView workbookViewId="0">
      <selection activeCell="I29" sqref="I29"/>
    </sheetView>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Opacos y Huecos</vt:lpstr>
      <vt:lpstr>PT</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Gonzalez</dc:creator>
  <cp:lastModifiedBy>Tomás González Llarena</cp:lastModifiedBy>
  <dcterms:created xsi:type="dcterms:W3CDTF">2025-11-23T13:41:08Z</dcterms:created>
  <dcterms:modified xsi:type="dcterms:W3CDTF">2025-11-24T07:41:43Z</dcterms:modified>
</cp:coreProperties>
</file>