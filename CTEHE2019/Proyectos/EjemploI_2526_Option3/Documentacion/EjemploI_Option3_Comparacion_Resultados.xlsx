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ectosCTEyCEE\CTEHE2019\Proyectos\EjemploI_2526_Option3\Documentacion\"/>
    </mc:Choice>
  </mc:AlternateContent>
  <xr:revisionPtr revIDLastSave="0" documentId="13_ncr:1_{5442E3E9-0A31-4A94-8AB1-A1C86C1F85FB}" xr6:coauthVersionLast="47" xr6:coauthVersionMax="47" xr10:uidLastSave="{00000000-0000-0000-0000-000000000000}"/>
  <bookViews>
    <workbookView xWindow="48" yWindow="12264" windowWidth="24888" windowHeight="12960" activeTab="2" xr2:uid="{00000000-000D-0000-FFFF-FFFF00000000}"/>
  </bookViews>
  <sheets>
    <sheet name="Geometria" sheetId="1" r:id="rId1"/>
    <sheet name="K_global" sheetId="2" r:id="rId2"/>
    <sheet name="Sheet5" sheetId="6" r:id="rId3"/>
    <sheet name="Cal" sheetId="3" r:id="rId4"/>
    <sheet name="Frio" sheetId="4" r:id="rId5"/>
    <sheet name="Sola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2" l="1"/>
  <c r="S88" i="2" s="1"/>
  <c r="B14" i="1"/>
  <c r="B15" i="1" s="1"/>
  <c r="B13" i="1"/>
</calcChain>
</file>

<file path=xl/sharedStrings.xml><?xml version="1.0" encoding="utf-8"?>
<sst xmlns="http://schemas.openxmlformats.org/spreadsheetml/2006/main" count="37" uniqueCount="37">
  <si>
    <t>Demanda</t>
  </si>
  <si>
    <t>P   U   E   N   T   E   S     T   É   R  M   I   C   O   S</t>
  </si>
  <si>
    <t>Definición</t>
  </si>
  <si>
    <r>
      <t xml:space="preserve">Ψ
T. lineal
</t>
    </r>
    <r>
      <rPr>
        <sz val="7"/>
        <color indexed="9"/>
        <rFont val="Swis721 Lt BT"/>
        <family val="1"/>
        <charset val="204"/>
      </rPr>
      <t>W/ m·K</t>
    </r>
  </si>
  <si>
    <t>Longitud L(m)</t>
  </si>
  <si>
    <r>
      <t xml:space="preserve">Ψ  </t>
    </r>
    <r>
      <rPr>
        <sz val="7"/>
        <color indexed="9"/>
        <rFont val="Swis721 Lt BT"/>
        <family val="1"/>
        <charset val="204"/>
      </rPr>
      <t>x L W/ K</t>
    </r>
  </si>
  <si>
    <t>Frente forjados</t>
  </si>
  <si>
    <t>Cubiertas planas</t>
  </si>
  <si>
    <t>Esquinas exteriores</t>
  </si>
  <si>
    <t>Esquinas interiores</t>
  </si>
  <si>
    <t>Forjado int contacto aire</t>
  </si>
  <si>
    <t>Alfeizar</t>
  </si>
  <si>
    <t>Dinteles/capialzados</t>
  </si>
  <si>
    <t>Jambas</t>
  </si>
  <si>
    <t>Pilares</t>
  </si>
  <si>
    <t>Suelos con terreno</t>
  </si>
  <si>
    <t>TOTALES EDIFICIO</t>
  </si>
  <si>
    <t>180.60           20.11</t>
  </si>
  <si>
    <t>ESQUINA_CONCAVA_CERRAMIENTO*18.000000</t>
  </si>
  <si>
    <t>ESQUINA_CONVEXA_CERRAMIENTO*0.000000</t>
  </si>
  <si>
    <t>UNION_CUBIERTA*55.712814</t>
  </si>
  <si>
    <t>ESQUINA_CONVEXA_FORJADO*0.000000</t>
  </si>
  <si>
    <t>FRENTE_FORJADO*47.000000</t>
  </si>
  <si>
    <t>UNION_T_CERRAMIENTO*0.000000</t>
  </si>
  <si>
    <t>PILAR*0.000000</t>
  </si>
  <si>
    <t>HUECO_VENTANA*54.600002</t>
  </si>
  <si>
    <t>ESQUINA_CONCAVA_TERRENO*36.000000</t>
  </si>
  <si>
    <t>ESQUINA_CONVEXA_TERRENO*0.000000</t>
  </si>
  <si>
    <t>CONTINUO_TERRENO*0.000000</t>
  </si>
  <si>
    <t>UNION_VERTICAL_ENT_EXT*0.000000</t>
  </si>
  <si>
    <t>UNION_SOLERA_PAREDEXT*0.000000</t>
  </si>
  <si>
    <t>MURO-EXT-AISLADO*0.000000</t>
  </si>
  <si>
    <t>OTROS*23.200001</t>
  </si>
  <si>
    <t>HUECO_DINTEL*0.000000</t>
  </si>
  <si>
    <t>HUECO_CAPIALZADO*21.000000</t>
  </si>
  <si>
    <t>HUECO_JAMBA*42.000000</t>
  </si>
  <si>
    <t>HUECO_ALFEIZAR*21.000000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</si>
</sst>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7"/>
      <color indexed="8"/>
      <name val="Swis721 Lt BT"/>
      <family val="2"/>
    </font>
    <font>
      <sz val="7"/>
      <color indexed="9"/>
      <name val="Swis721 Lt BT"/>
      <family val="2"/>
    </font>
    <font>
      <sz val="7"/>
      <color indexed="9"/>
      <name val="Swis721 Lt BT"/>
      <family val="1"/>
      <charset val="204"/>
    </font>
    <font>
      <b/>
      <sz val="7"/>
      <color indexed="9"/>
      <name val="Arial"/>
      <family val="1"/>
      <charset val="204"/>
    </font>
    <font>
      <b/>
      <sz val="7"/>
      <color indexed="9"/>
      <name val="Calibri"/>
      <family val="1"/>
      <charset val="204"/>
    </font>
    <font>
      <sz val="7"/>
      <color indexed="9"/>
      <name val="Arial Black"/>
      <family val="2"/>
    </font>
    <font>
      <b/>
      <sz val="7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rgb="FFF1DCDB"/>
        <bgColor indexed="64"/>
      </patternFill>
    </fill>
    <fill>
      <patternFill patternType="solid">
        <fgColor rgb="FFC4BC96"/>
        <bgColor indexed="64"/>
      </patternFill>
    </fill>
    <fill>
      <patternFill patternType="solid">
        <fgColor rgb="FF938953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 indent="3"/>
    </xf>
    <xf numFmtId="0" fontId="5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center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7" fillId="5" borderId="0" xfId="0" applyFont="1" applyFill="1" applyAlignment="1">
      <alignment horizontal="left" vertical="top" wrapText="1"/>
    </xf>
    <xf numFmtId="0" fontId="8" fillId="6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95859</xdr:colOff>
      <xdr:row>9</xdr:row>
      <xdr:rowOff>70699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3395E-29F8-5B6A-B19C-35B586E34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4363059" cy="15337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23</xdr:col>
      <xdr:colOff>563160</xdr:colOff>
      <xdr:row>4</xdr:row>
      <xdr:rowOff>99150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2CE67-F75F-063E-3FD8-E3966ED98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82880"/>
          <a:ext cx="8487960" cy="647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534410</xdr:colOff>
      <xdr:row>3</xdr:row>
      <xdr:rowOff>41992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2C5FB-7A3A-0732-DCEF-AAC97B61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40010" cy="59063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17</xdr:col>
      <xdr:colOff>297180</xdr:colOff>
      <xdr:row>8</xdr:row>
      <xdr:rowOff>99060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C14E9-E80A-C4D0-1E90-386D4B15E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365760"/>
          <a:ext cx="2735580" cy="1196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19</xdr:col>
      <xdr:colOff>496986</xdr:colOff>
      <xdr:row>36</xdr:row>
      <xdr:rowOff>38743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054AE7-1587-287B-75F7-B817FA504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1680"/>
          <a:ext cx="12079386" cy="4610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15</xdr:col>
      <xdr:colOff>277540</xdr:colOff>
      <xdr:row>63</xdr:row>
      <xdr:rowOff>86375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76E324-77BC-9134-AEE7-9B8099787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949440"/>
          <a:ext cx="9421540" cy="465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8</xdr:col>
      <xdr:colOff>134049</xdr:colOff>
      <xdr:row>74</xdr:row>
      <xdr:rowOff>95519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74E1F7-3633-6741-7DA1-50C83FC3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887200"/>
          <a:ext cx="5010849" cy="1924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114912</xdr:colOff>
      <xdr:row>2</xdr:row>
      <xdr:rowOff>158188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CF248-FAE8-E801-A8E5-C5B0001F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82112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83820</xdr:rowOff>
    </xdr:from>
    <xdr:to>
      <xdr:col>7</xdr:col>
      <xdr:colOff>86333</xdr:colOff>
      <xdr:row>3</xdr:row>
      <xdr:rowOff>51482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49DDD-CE2B-1F1B-F96A-280C35C23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"/>
          <a:ext cx="4353533" cy="3334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172410</xdr:colOff>
      <xdr:row>3</xdr:row>
      <xdr:rowOff>72451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15276-75E0-2B1D-6247-26130787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6878010" cy="438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3:B15"/>
  <sheetViews>
    <sheetView workbookViewId="0">
      <selection activeCell="B15" sqref="B15"/>
    </sheetView>
  </sheetViews>
  <sheetFormatPr defaultRowHeight="14.4"/>
  <sheetData>
    <row r="13" spans="2:2">
      <c r="B13">
        <f>8*8*4</f>
        <v>256</v>
      </c>
    </row>
    <row r="14" spans="2:2">
      <c r="B14">
        <f>8*8*2.3333</f>
        <v>149.3312</v>
      </c>
    </row>
    <row r="15" spans="2:2">
      <c r="B15">
        <f>SUM(B13:B14)</f>
        <v>405.33119999999997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DC41-44E3-4121-A51C-D41494905025}">
  <dimension ref="K66:S93"/>
  <sheetViews>
    <sheetView topLeftCell="A64" workbookViewId="0">
      <selection activeCell="N86" sqref="N86"/>
    </sheetView>
  </sheetViews>
  <sheetFormatPr defaultRowHeight="14.4"/>
  <sheetData>
    <row r="66" spans="11:15">
      <c r="K66" s="1" t="s">
        <v>1</v>
      </c>
      <c r="L66" s="1"/>
      <c r="M66" s="1"/>
      <c r="N66" s="1"/>
      <c r="O66" s="1"/>
    </row>
    <row r="67" spans="11:15" ht="28.8">
      <c r="K67" s="2" t="s">
        <v>2</v>
      </c>
      <c r="L67" s="2"/>
      <c r="M67" s="3" t="s">
        <v>3</v>
      </c>
      <c r="N67" s="4" t="s">
        <v>4</v>
      </c>
      <c r="O67" s="5" t="s">
        <v>5</v>
      </c>
    </row>
    <row r="68" spans="11:15">
      <c r="K68" s="6"/>
      <c r="L68" s="6"/>
      <c r="M68" s="6"/>
      <c r="N68" s="6"/>
      <c r="O68" s="6"/>
    </row>
    <row r="69" spans="11:15">
      <c r="K69" s="7" t="s">
        <v>6</v>
      </c>
      <c r="L69" s="8"/>
      <c r="M69" s="9">
        <v>0.1</v>
      </c>
      <c r="N69" s="9">
        <v>32</v>
      </c>
      <c r="O69" s="9">
        <v>3.2</v>
      </c>
    </row>
    <row r="70" spans="11:15">
      <c r="K70" s="6"/>
      <c r="L70" s="6"/>
      <c r="M70" s="6"/>
      <c r="N70" s="6"/>
      <c r="O70" s="6"/>
    </row>
    <row r="71" spans="11:15">
      <c r="K71" s="7" t="s">
        <v>7</v>
      </c>
      <c r="L71" s="8"/>
      <c r="M71" s="9">
        <v>0.22500000000000001</v>
      </c>
      <c r="N71" s="9">
        <v>32</v>
      </c>
      <c r="O71" s="9">
        <v>7.2</v>
      </c>
    </row>
    <row r="72" spans="11:15">
      <c r="K72" s="11"/>
      <c r="L72" s="11"/>
      <c r="M72" s="11"/>
      <c r="N72" s="10"/>
      <c r="O72" s="9">
        <v>0</v>
      </c>
    </row>
    <row r="73" spans="11:15">
      <c r="K73" s="6"/>
      <c r="L73" s="6"/>
      <c r="M73" s="6"/>
      <c r="N73" s="6"/>
      <c r="O73" s="6"/>
    </row>
    <row r="74" spans="11:15">
      <c r="K74" s="7" t="s">
        <v>8</v>
      </c>
      <c r="L74" s="8"/>
      <c r="M74" s="9">
        <v>4.2999999999999997E-2</v>
      </c>
      <c r="N74" s="9">
        <v>40.6</v>
      </c>
      <c r="O74" s="9">
        <v>1.75</v>
      </c>
    </row>
    <row r="75" spans="11:15">
      <c r="K75" s="6"/>
      <c r="L75" s="6"/>
      <c r="M75" s="6"/>
      <c r="N75" s="6"/>
      <c r="O75" s="6"/>
    </row>
    <row r="76" spans="11:15">
      <c r="K76" s="12" t="s">
        <v>9</v>
      </c>
      <c r="L76" s="13"/>
      <c r="M76" s="14"/>
      <c r="N76" s="14"/>
      <c r="O76" s="15">
        <v>0</v>
      </c>
    </row>
    <row r="77" spans="11:15">
      <c r="K77" s="6"/>
      <c r="L77" s="6"/>
      <c r="M77" s="6"/>
      <c r="N77" s="6"/>
      <c r="O77" s="6"/>
    </row>
    <row r="78" spans="11:15">
      <c r="K78" s="12" t="s">
        <v>10</v>
      </c>
      <c r="L78" s="13"/>
      <c r="M78" s="14"/>
      <c r="N78" s="14"/>
      <c r="O78" s="15">
        <v>0</v>
      </c>
    </row>
    <row r="79" spans="11:15">
      <c r="K79" s="6"/>
      <c r="L79" s="6"/>
      <c r="M79" s="6"/>
      <c r="N79" s="6"/>
      <c r="O79" s="6"/>
    </row>
    <row r="80" spans="11:15">
      <c r="K80" s="7" t="s">
        <v>11</v>
      </c>
      <c r="L80" s="8"/>
      <c r="M80" s="9">
        <v>0.51</v>
      </c>
      <c r="N80" s="9">
        <v>13</v>
      </c>
      <c r="O80" s="9">
        <v>6.63</v>
      </c>
    </row>
    <row r="81" spans="11:19">
      <c r="K81" s="16"/>
      <c r="L81" s="16"/>
      <c r="M81" s="9">
        <v>0.08</v>
      </c>
      <c r="N81" s="9">
        <v>4</v>
      </c>
      <c r="O81" s="9">
        <v>0.32</v>
      </c>
    </row>
    <row r="82" spans="11:19">
      <c r="K82" s="6"/>
      <c r="L82" s="6"/>
      <c r="M82" s="6"/>
      <c r="N82" s="6"/>
      <c r="O82" s="6"/>
    </row>
    <row r="83" spans="11:19">
      <c r="K83" s="7" t="s">
        <v>12</v>
      </c>
      <c r="L83" s="8"/>
      <c r="M83" s="9">
        <v>0.01</v>
      </c>
      <c r="N83" s="9">
        <v>13</v>
      </c>
      <c r="O83" s="9">
        <v>0.13</v>
      </c>
    </row>
    <row r="84" spans="11:19">
      <c r="K84" s="16"/>
      <c r="L84" s="16"/>
      <c r="M84" s="9">
        <v>0.01</v>
      </c>
      <c r="N84" s="9">
        <v>4</v>
      </c>
      <c r="O84" s="9">
        <v>0.04</v>
      </c>
    </row>
    <row r="85" spans="11:19">
      <c r="K85" s="6"/>
      <c r="L85" s="6"/>
      <c r="M85" s="6"/>
      <c r="N85" s="6"/>
      <c r="O85" s="6"/>
    </row>
    <row r="86" spans="11:19">
      <c r="K86" s="7" t="s">
        <v>13</v>
      </c>
      <c r="L86" s="8"/>
      <c r="M86" s="9">
        <v>0.02</v>
      </c>
      <c r="N86" s="9">
        <v>22</v>
      </c>
      <c r="O86" s="9">
        <v>0.44</v>
      </c>
    </row>
    <row r="87" spans="11:19">
      <c r="K87" s="16"/>
      <c r="L87" s="16"/>
      <c r="M87" s="9">
        <v>0.02</v>
      </c>
      <c r="N87" s="9">
        <v>20</v>
      </c>
      <c r="O87" s="9">
        <v>0.4</v>
      </c>
    </row>
    <row r="88" spans="11:19">
      <c r="K88" s="6"/>
      <c r="L88" s="6"/>
      <c r="M88" s="6"/>
      <c r="N88" s="6"/>
      <c r="O88" s="6"/>
      <c r="Q88">
        <f>SUM(N80:N87)</f>
        <v>76</v>
      </c>
      <c r="R88">
        <v>84</v>
      </c>
      <c r="S88">
        <f>Q88-R88</f>
        <v>-8</v>
      </c>
    </row>
    <row r="89" spans="11:19">
      <c r="K89" s="7" t="s">
        <v>14</v>
      </c>
      <c r="L89" s="8"/>
      <c r="M89" s="16"/>
      <c r="N89" s="16"/>
      <c r="O89" s="9">
        <v>0</v>
      </c>
    </row>
    <row r="90" spans="11:19">
      <c r="K90" s="6"/>
      <c r="L90" s="6"/>
      <c r="M90" s="6"/>
      <c r="N90" s="6"/>
      <c r="O90" s="6"/>
    </row>
    <row r="91" spans="11:19">
      <c r="K91" s="12" t="s">
        <v>15</v>
      </c>
      <c r="L91" s="13"/>
      <c r="M91" s="14"/>
      <c r="N91" s="14"/>
      <c r="O91" s="15">
        <v>0</v>
      </c>
    </row>
    <row r="92" spans="11:19">
      <c r="K92" s="17"/>
      <c r="L92" s="17"/>
      <c r="M92" s="17"/>
      <c r="N92" s="17"/>
      <c r="O92" s="17"/>
    </row>
    <row r="93" spans="11:19">
      <c r="K93" s="18" t="s">
        <v>16</v>
      </c>
      <c r="L93" s="18"/>
      <c r="M93" s="18"/>
      <c r="N93" s="19" t="s">
        <v>17</v>
      </c>
      <c r="O93" s="19"/>
    </row>
  </sheetData>
  <mergeCells count="15">
    <mergeCell ref="K91:L91"/>
    <mergeCell ref="K93:M93"/>
    <mergeCell ref="N93:O93"/>
    <mergeCell ref="K76:L76"/>
    <mergeCell ref="K78:L78"/>
    <mergeCell ref="K80:L80"/>
    <mergeCell ref="K83:L83"/>
    <mergeCell ref="K86:L86"/>
    <mergeCell ref="K89:L89"/>
    <mergeCell ref="K66:O66"/>
    <mergeCell ref="K67:L67"/>
    <mergeCell ref="K69:L69"/>
    <mergeCell ref="K71:L71"/>
    <mergeCell ref="K72:N72"/>
    <mergeCell ref="K74:L7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43B4-F849-4C3C-B230-1745956A97B5}">
  <dimension ref="A1:A19"/>
  <sheetViews>
    <sheetView tabSelected="1" workbookViewId="0">
      <selection sqref="A1:A19"/>
    </sheetView>
  </sheetViews>
  <sheetFormatPr defaultRowHeight="14.4"/>
  <sheetData>
    <row r="1" spans="1:1">
      <c r="A1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962D-1213-46A9-840D-629F37CDAA8F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E483-22D1-4208-BA0B-29C9C09813CD}">
  <dimension ref="A1"/>
  <sheetViews>
    <sheetView workbookViewId="0">
      <selection activeCell="B8" sqref="B8"/>
    </sheetView>
  </sheetViews>
  <sheetFormatPr defaultRowHeight="14.4"/>
  <sheetData>
    <row r="1" spans="1:1">
      <c r="A1" t="s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739-900A-48A6-A8EB-C6BAD5D097F6}">
  <dimension ref="A1"/>
  <sheetViews>
    <sheetView workbookViewId="0">
      <selection activeCell="K17" sqref="K17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Geometria</vt:lpstr>
      <vt:lpstr>K_global</vt:lpstr>
      <vt:lpstr>Sheet5</vt:lpstr>
      <vt:lpstr>Cal</vt:lpstr>
      <vt:lpstr>Frio</vt:lpstr>
      <vt:lpstr>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Tomás González Llarena</cp:lastModifiedBy>
  <dcterms:created xsi:type="dcterms:W3CDTF">2015-06-05T18:17:20Z</dcterms:created>
  <dcterms:modified xsi:type="dcterms:W3CDTF">2025-11-26T07:43:16Z</dcterms:modified>
</cp:coreProperties>
</file>