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ProyectosCTEyCEE\CTEHE2019\Proyectos\Ejemplo2_2526_Config1\Documentacion\"/>
    </mc:Choice>
  </mc:AlternateContent>
  <xr:revisionPtr revIDLastSave="0" documentId="8_{FC6518EE-BAEC-4E95-A6BE-05B1BE236730}" xr6:coauthVersionLast="47" xr6:coauthVersionMax="47" xr10:uidLastSave="{00000000-0000-0000-0000-000000000000}"/>
  <bookViews>
    <workbookView xWindow="144" yWindow="11556" windowWidth="29112" windowHeight="13644" firstSheet="2" activeTab="2" xr2:uid="{25AB89B8-65CE-40A3-AAD4-22FA5807B22C}"/>
  </bookViews>
  <sheets>
    <sheet name="Dimensiones" sheetId="11" r:id="rId1"/>
    <sheet name="Sheet1" sheetId="1" r:id="rId2"/>
    <sheet name="Huecos+Opacos" sheetId="4" r:id="rId3"/>
    <sheet name="Hsol;jul Pensinsula" sheetId="18" r:id="rId4"/>
    <sheet name="Vidrios" sheetId="17" r:id="rId5"/>
    <sheet name="Puentes termicos" sheetId="16" r:id="rId6"/>
    <sheet name="Elementos constructivos" sheetId="3" r:id="rId7"/>
    <sheet name="FOR INT AC-NH" sheetId="5" r:id="rId8"/>
    <sheet name="TAB INT" sheetId="9" r:id="rId9"/>
    <sheet name="MURO EXTERIOR" sheetId="6" r:id="rId10"/>
    <sheet name="CUB IN TEJA" sheetId="12" r:id="rId11"/>
    <sheet name="Analisis atico" sheetId="10" r:id="rId12"/>
    <sheet name="Suelo con camara de aire ventil" sheetId="15" r:id="rId13"/>
    <sheet name="Tabla 7 Coef b" sheetId="14" r:id="rId14"/>
    <sheet name="Resistencias superficiales" sheetId="8" r:id="rId15"/>
    <sheet name="R capas de aire sin ventilar " sheetId="13" r:id="rId16"/>
  </sheets>
  <definedNames>
    <definedName name="_xlnm._FilterDatabase" localSheetId="1" hidden="1">Sheet1!$A$1:$K$32</definedName>
    <definedName name="A_h_nh">'Analisis atico'!$G$3</definedName>
    <definedName name="A_nh_e">'Analisis atico'!$G$13</definedName>
    <definedName name="grosor_muros">Dimensiones!$I$2</definedName>
    <definedName name="knownX">'Tabla 7 Coef b'!$B$3:$B$10</definedName>
    <definedName name="knownY">'Tabla 7 Coef b'!$G$3:$G$11</definedName>
    <definedName name="l">Dimensiones!$C$2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3" i="4" l="1"/>
  <c r="U13" i="4"/>
  <c r="S15" i="4"/>
  <c r="M17" i="4"/>
  <c r="R17" i="4" s="1"/>
  <c r="M15" i="4"/>
  <c r="R15" i="4" s="1"/>
  <c r="M14" i="4"/>
  <c r="R14" i="4" s="1"/>
  <c r="M13" i="4"/>
  <c r="R13" i="4" s="1"/>
  <c r="D3" i="16"/>
  <c r="D4" i="16"/>
  <c r="D5" i="16"/>
  <c r="D6" i="16"/>
  <c r="D7" i="16"/>
  <c r="D2" i="16"/>
  <c r="B8" i="16"/>
  <c r="P2" i="16" s="1"/>
  <c r="F8" i="4"/>
  <c r="H3" i="4"/>
  <c r="H4" i="4"/>
  <c r="H5" i="4"/>
  <c r="H6" i="4"/>
  <c r="H8" i="4"/>
  <c r="J14" i="10"/>
  <c r="O22" i="10"/>
  <c r="P25" i="10" s="1"/>
  <c r="P22" i="10"/>
  <c r="O23" i="10"/>
  <c r="P23" i="10"/>
  <c r="B2" i="3"/>
  <c r="K5" i="15"/>
  <c r="J5" i="15"/>
  <c r="I5" i="15"/>
  <c r="H5" i="15"/>
  <c r="E13" i="15"/>
  <c r="D13" i="15"/>
  <c r="D6" i="15"/>
  <c r="D7" i="15"/>
  <c r="D8" i="15"/>
  <c r="D9" i="15"/>
  <c r="D10" i="15"/>
  <c r="D5" i="15"/>
  <c r="D12" i="15"/>
  <c r="D11" i="15"/>
  <c r="L4" i="14"/>
  <c r="L5" i="14"/>
  <c r="L6" i="14"/>
  <c r="L7" i="14"/>
  <c r="L8" i="14"/>
  <c r="L9" i="14"/>
  <c r="L10" i="14"/>
  <c r="L3" i="14"/>
  <c r="H3" i="10"/>
  <c r="E9" i="5"/>
  <c r="E8" i="5"/>
  <c r="D6" i="5"/>
  <c r="C6" i="6"/>
  <c r="D6" i="6" s="1"/>
  <c r="D9" i="6" s="1"/>
  <c r="D12" i="6" s="1"/>
  <c r="D13" i="6" s="1"/>
  <c r="D10" i="10"/>
  <c r="E10" i="10"/>
  <c r="G10" i="10" s="1"/>
  <c r="D11" i="10"/>
  <c r="E11" i="10"/>
  <c r="D12" i="10"/>
  <c r="E12" i="10"/>
  <c r="E9" i="10"/>
  <c r="D9" i="10"/>
  <c r="G9" i="10" s="1"/>
  <c r="D2" i="10"/>
  <c r="F2" i="10" s="1"/>
  <c r="D10" i="12"/>
  <c r="D11" i="12" s="1"/>
  <c r="D3" i="12"/>
  <c r="D4" i="12"/>
  <c r="D5" i="12"/>
  <c r="D6" i="12"/>
  <c r="D7" i="12"/>
  <c r="D2" i="12"/>
  <c r="F6" i="10"/>
  <c r="G6" i="10"/>
  <c r="F7" i="10"/>
  <c r="G7" i="10"/>
  <c r="F8" i="10"/>
  <c r="G8" i="10"/>
  <c r="G5" i="10"/>
  <c r="G2" i="10"/>
  <c r="G3" i="10" s="1"/>
  <c r="C2" i="11"/>
  <c r="D9" i="9"/>
  <c r="E7" i="5"/>
  <c r="E5" i="5"/>
  <c r="E4" i="5"/>
  <c r="E3" i="5"/>
  <c r="E2" i="5"/>
  <c r="E6" i="5"/>
  <c r="E10" i="5" s="1"/>
  <c r="D11" i="6"/>
  <c r="D10" i="6"/>
  <c r="D10" i="9"/>
  <c r="D8" i="9"/>
  <c r="D7" i="9"/>
  <c r="D3" i="9"/>
  <c r="D4" i="9"/>
  <c r="D5" i="9"/>
  <c r="D6" i="9"/>
  <c r="D2" i="9"/>
  <c r="D3" i="6"/>
  <c r="D4" i="6"/>
  <c r="D5" i="6"/>
  <c r="D7" i="6"/>
  <c r="D8" i="6"/>
  <c r="B9" i="6"/>
  <c r="D2" i="6"/>
  <c r="G17" i="4"/>
  <c r="I17" i="4" s="1"/>
  <c r="G16" i="4"/>
  <c r="I16" i="4" s="1"/>
  <c r="G15" i="4"/>
  <c r="I15" i="4" s="1"/>
  <c r="G14" i="4"/>
  <c r="I14" i="4" s="1"/>
  <c r="G13" i="4"/>
  <c r="F3" i="4" s="1"/>
  <c r="K13" i="1"/>
  <c r="K12" i="1"/>
  <c r="K11" i="1"/>
  <c r="K10" i="1"/>
  <c r="K9" i="1"/>
  <c r="K8" i="1"/>
  <c r="K7" i="1"/>
  <c r="K5" i="1"/>
  <c r="K18" i="1" s="1"/>
  <c r="K6" i="1"/>
  <c r="S13" i="4" l="1"/>
  <c r="S14" i="4"/>
  <c r="S16" i="4"/>
  <c r="S17" i="4"/>
  <c r="R16" i="4"/>
  <c r="I3" i="4"/>
  <c r="D8" i="16"/>
  <c r="F4" i="4"/>
  <c r="I4" i="4" s="1"/>
  <c r="F5" i="4"/>
  <c r="I5" i="4" s="1"/>
  <c r="F6" i="4"/>
  <c r="I6" i="4" s="1"/>
  <c r="K14" i="10"/>
  <c r="L14" i="10" s="1"/>
  <c r="I13" i="4"/>
  <c r="G12" i="10"/>
  <c r="G11" i="10"/>
  <c r="G13" i="10" s="1"/>
  <c r="I14" i="10" s="1"/>
  <c r="O25" i="10" s="1"/>
  <c r="F5" i="10"/>
  <c r="F10" i="5"/>
  <c r="I8" i="4" l="1"/>
  <c r="I19" i="4" s="1"/>
  <c r="J13"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tc={FC618817-3AC1-4BEC-AFDD-D6E060011D75}</author>
    <author>tc={7DE148B1-D593-46A5-BBB7-1004B55FFBBB}</author>
    <author>tc={F2745CA8-C665-4148-B44B-74B4B1E1B26C}</author>
    <author>tc={4D9F0329-B431-4C6E-8889-D21D40C6B774}</author>
  </authors>
  <commentList>
    <comment ref="M12" authorId="0" shapeId="0" xr:uid="{FC618817-3AC1-4BEC-AFDD-D6E060011D75}">
      <text>
        <t xml:space="preserve">[Threaded comment]
Your version of Excel allows you to read this threaded comment; however, any edits to it will get removed if the file is opened in a newer version of Excel. Learn more: https://go.microsoft.com/fwlink/?linkid=870924
Comment:
    This is the total solar irradiance incident on that specific surface during the entire month of July </t>
      </text>
    </comment>
    <comment ref="N12" authorId="1" shapeId="0" xr:uid="{7DE148B1-D593-46A5-BBB7-1004B55FFBBB}">
      <text>
        <t>[Threaded comment]
Your version of Excel allows you to read this threaded comment; however, any edits to it will get removed if the file is opened in a newer version of Excel. Learn more: https://go.microsoft.com/fwlink/?linkid=870924
Comment:
    Es la transmitancia total de energía solar del vidrio sin los dispositivos de sombra activos. Se expresa
habitualmente como la relación en tanto por uno entre la radiación incidente y la que finalmente atraviesa
el vidrio. Es un dato que normalmente nos facilitará el fabricante del vidrio.</t>
      </text>
    </comment>
    <comment ref="O12" authorId="2" shapeId="0" xr:uid="{F2745CA8-C665-4148-B44B-74B4B1E1B26C}">
      <text>
        <t>[Threaded comment]
Your version of Excel allows you to read this threaded comment; however, any edits to it will get removed if the file is opened in a newer version of Excel. Learn more: https://go.microsoft.com/fwlink/?linkid=870924
Comment:
    This is the total solar energy transmittance of the glazing unit with the solar shading device activated (in this case, an external white blind). It's a very low value, meaning only 5% of the solar energy passes through 
Es la transmitancia total de energía solar del acristalamiento con los dispositivos de sombra móvil
activos. Sus valores los podemos obtener en la “Tabla 12 Transmitancia total de energía solar de huecos
para distintos dispositivos de sombra móvil (g_gl;sh,wi)”del DB-HE / 1. Cálculo de parámetros característicos de la envolvente.</t>
      </text>
    </comment>
    <comment ref="Q12" authorId="3" shapeId="0" xr:uid="{4D9F0329-B431-4C6E-8889-D21D40C6B774}">
      <text>
        <t xml:space="preserve">[Threaded comment]
Your version of Excel allows you to read this threaded comment; however, any edits to it will get removed if the file is opened in a newer version of Excel. Learn more: https://go.microsoft.com/fwlink/?linkid=870924
Comment:
    This is the "obstruction factor" which accounts for shading from fixed external elements like overhangs, side fins, or nearby buildings. A value of 0.83 means the fixed shading reduces the solar irradiance by 17% </t>
      </text>
    </comment>
  </commentList>
</comments>
</file>

<file path=xl/sharedStrings.xml><?xml version="1.0" encoding="utf-8"?>
<sst xmlns="http://schemas.openxmlformats.org/spreadsheetml/2006/main" count="410" uniqueCount="231">
  <si>
    <t>TOTALES PLANTA 01</t>
  </si>
  <si>
    <t>PLANTA BAJA. P02</t>
  </si>
  <si>
    <t>M2.N1</t>
  </si>
  <si>
    <t>EXTERIOR</t>
  </si>
  <si>
    <t>H2-N1</t>
  </si>
  <si>
    <t>VENTANA</t>
  </si>
  <si>
    <t>M2.E1</t>
  </si>
  <si>
    <t>H2-E1</t>
  </si>
  <si>
    <t>M2.S1</t>
  </si>
  <si>
    <t>H2-S1</t>
  </si>
  <si>
    <t>M2.O1</t>
  </si>
  <si>
    <t>H2-O1</t>
  </si>
  <si>
    <t>PUERTA</t>
  </si>
  <si>
    <t>H2-O2</t>
  </si>
  <si>
    <t>F2.1</t>
  </si>
  <si>
    <t>NH</t>
  </si>
  <si>
    <t>SUELO</t>
  </si>
  <si>
    <t>-</t>
  </si>
  <si>
    <t>F3.1</t>
  </si>
  <si>
    <t>TECHO</t>
  </si>
  <si>
    <t>TOTALES PLANTA 02</t>
  </si>
  <si>
    <t>Código del elemento</t>
  </si>
  <si>
    <t>Tipo de Contacto</t>
  </si>
  <si>
    <t>Descripción</t>
  </si>
  <si>
    <r>
      <t>¿</t>
    </r>
    <r>
      <rPr>
        <b/>
        <sz val="7"/>
        <color indexed="9"/>
        <rFont val="Symbol"/>
        <family val="1"/>
        <charset val="204"/>
      </rPr>
      <t></t>
    </r>
    <r>
      <rPr>
        <sz val="7"/>
        <color indexed="9"/>
        <rFont val="Times New Roman"/>
        <family val="1"/>
        <charset val="204"/>
      </rPr>
      <t xml:space="preserve"> </t>
    </r>
    <r>
      <rPr>
        <sz val="7"/>
        <color indexed="9"/>
        <rFont val="Maiandra GD"/>
        <family val="1"/>
        <charset val="204"/>
      </rPr>
      <t xml:space="preserve">a ET?
</t>
    </r>
    <r>
      <rPr>
        <b/>
        <sz val="8"/>
        <color indexed="9"/>
        <rFont val="Symbol"/>
        <family val="1"/>
        <charset val="204"/>
      </rPr>
      <t></t>
    </r>
    <r>
      <rPr>
        <sz val="8"/>
        <color indexed="9"/>
        <rFont val="Times New Roman"/>
        <family val="1"/>
        <charset val="204"/>
      </rPr>
      <t xml:space="preserve"> </t>
    </r>
    <r>
      <rPr>
        <sz val="7"/>
        <color indexed="9"/>
        <rFont val="Maiandra GD"/>
        <family val="1"/>
        <charset val="204"/>
      </rPr>
      <t xml:space="preserve">ET=1
</t>
    </r>
    <r>
      <rPr>
        <b/>
        <sz val="8"/>
        <color indexed="9"/>
        <rFont val="Symbol"/>
        <family val="1"/>
        <charset val="204"/>
      </rPr>
      <t></t>
    </r>
    <r>
      <rPr>
        <sz val="8"/>
        <color indexed="9"/>
        <rFont val="Times New Roman"/>
        <family val="1"/>
        <charset val="204"/>
      </rPr>
      <t xml:space="preserve"> </t>
    </r>
    <r>
      <rPr>
        <sz val="7"/>
        <color indexed="9"/>
        <rFont val="Maiandra GD"/>
        <family val="1"/>
        <charset val="204"/>
      </rPr>
      <t>ET=0</t>
    </r>
  </si>
  <si>
    <t>Sup. Parte OPACA ( m 2)</t>
  </si>
  <si>
    <t>Sup.
HUECO ( m 2)</t>
  </si>
  <si>
    <t>Sup. E.T. en contacto
EXTERIOR o TERRENO (m2)</t>
  </si>
  <si>
    <t>U
W/ m2K</t>
  </si>
  <si>
    <r>
      <t xml:space="preserve">U </t>
    </r>
    <r>
      <rPr>
        <sz val="6"/>
        <color indexed="9"/>
        <rFont val="Maiandra GD"/>
        <family val="1"/>
        <charset val="204"/>
      </rPr>
      <t xml:space="preserve">x  Área
</t>
    </r>
    <r>
      <rPr>
        <sz val="7"/>
        <color indexed="9"/>
        <rFont val="Maiandra GD"/>
        <family val="1"/>
        <charset val="204"/>
      </rPr>
      <t>W/ K</t>
    </r>
  </si>
  <si>
    <t>PLANTA BAJOCUBIERTA. P03</t>
  </si>
  <si>
    <t>C3-N1</t>
  </si>
  <si>
    <t>CUBIERTA</t>
  </si>
  <si>
    <t>C3-E1</t>
  </si>
  <si>
    <t>C3-S1</t>
  </si>
  <si>
    <t>C3-O1</t>
  </si>
  <si>
    <t>TOTALES PLANTA 03</t>
  </si>
  <si>
    <t>TOTALES EDIFICIO</t>
  </si>
  <si>
    <t>Contacto EXTERIOR o
TERRENO
( btr.x)
SI=1 N0=0</t>
  </si>
  <si>
    <t>PLANTA CÁMARA SANITARIA. P01
La planta 01 correspondiente al nivel de cámara sanitaria. no se incluye en ninguna de las opciones dentro de la envolvente térmica por lo que no se detallan en la tabla las características de sus cerramientos.</t>
  </si>
  <si>
    <t>M. FACHADA</t>
  </si>
  <si>
    <t>99.40            28.60            128.00</t>
  </si>
  <si>
    <t>Orientacion</t>
  </si>
  <si>
    <t>Oeste</t>
  </si>
  <si>
    <t>Sur</t>
  </si>
  <si>
    <t>Este</t>
  </si>
  <si>
    <t>Norte</t>
  </si>
  <si>
    <t>alto</t>
  </si>
  <si>
    <t>tipo</t>
  </si>
  <si>
    <t>ventana</t>
  </si>
  <si>
    <t>area</t>
  </si>
  <si>
    <t>P02_E01_PE001_V</t>
  </si>
  <si>
    <t>P02_E01_PE002_V</t>
  </si>
  <si>
    <t>P02_E01_PE003_V</t>
  </si>
  <si>
    <t>P02_E01_PE004_V2</t>
  </si>
  <si>
    <t>P02_E01_PE004_V1</t>
  </si>
  <si>
    <t>PTA</t>
  </si>
  <si>
    <t>U W/(m^2 K)</t>
  </si>
  <si>
    <t>Nombre</t>
  </si>
  <si>
    <t>MURO EXTERIOR</t>
  </si>
  <si>
    <t>P02_E01_PE001</t>
  </si>
  <si>
    <t>P02_E01_PE002</t>
  </si>
  <si>
    <t>P02_E01_PE003</t>
  </si>
  <si>
    <t>P02_E01_PE004</t>
  </si>
  <si>
    <t>Material</t>
  </si>
  <si>
    <t>U W/(m2K)</t>
  </si>
  <si>
    <t>H W/K</t>
  </si>
  <si>
    <t>FOR INT AC-NH</t>
  </si>
  <si>
    <t>longitud 1</t>
  </si>
  <si>
    <t>longitud 2</t>
  </si>
  <si>
    <t>capas</t>
  </si>
  <si>
    <t>espesor (m)</t>
  </si>
  <si>
    <r>
      <t xml:space="preserve">Cond. </t>
    </r>
    <r>
      <rPr>
        <sz val="7"/>
        <color indexed="8"/>
        <rFont val="Calibri"/>
        <family val="1"/>
        <charset val="204"/>
      </rPr>
      <t xml:space="preserve">λ </t>
    </r>
    <r>
      <rPr>
        <sz val="7"/>
        <color indexed="8"/>
        <rFont val="Maiandra GD"/>
        <family val="1"/>
        <charset val="204"/>
      </rPr>
      <t>(W/m·K</t>
    </r>
  </si>
  <si>
    <t>1 Plaqueta de gres</t>
  </si>
  <si>
    <t>2 Mortero de cemento</t>
  </si>
  <si>
    <r>
      <t>3 XPS Expandido (</t>
    </r>
    <r>
      <rPr>
        <sz val="7"/>
        <color indexed="8"/>
        <rFont val="Calibri"/>
        <family val="1"/>
        <charset val="204"/>
      </rPr>
      <t>λ</t>
    </r>
    <r>
      <rPr>
        <sz val="7"/>
        <color indexed="8"/>
        <rFont val="Maiandra GD"/>
        <family val="1"/>
        <charset val="204"/>
      </rPr>
      <t>:0,034 (W/m·K)</t>
    </r>
  </si>
  <si>
    <t>4 FU entrevigado cerámico</t>
  </si>
  <si>
    <t>5 Cámara de aire sin ventilar horizontal</t>
  </si>
  <si>
    <t>6 Placa de yeso laminado</t>
  </si>
  <si>
    <t>Resistencia termica m^2 K / W</t>
  </si>
  <si>
    <t>1 Mortero de cemento</t>
  </si>
  <si>
    <t>2 EPS Poliestireno</t>
  </si>
  <si>
    <t>3 1 pie LP métrico o catalán</t>
  </si>
  <si>
    <t>4 Mortero de cemento</t>
  </si>
  <si>
    <t>5 Cámara de aire sin ventilar vertical</t>
  </si>
  <si>
    <t>7 Placa de yeso laminado</t>
  </si>
  <si>
    <t>Resistencia</t>
  </si>
  <si>
    <t>Flujo</t>
  </si>
  <si>
    <t>horizontal</t>
  </si>
  <si>
    <t>Rse</t>
  </si>
  <si>
    <t>Rsi</t>
  </si>
  <si>
    <t>vertical</t>
  </si>
  <si>
    <t>direccion</t>
  </si>
  <si>
    <t>ascendente (techo)</t>
  </si>
  <si>
    <t>interior</t>
  </si>
  <si>
    <t>descendente (suelo)</t>
  </si>
  <si>
    <r>
      <t xml:space="preserve">Cond. </t>
    </r>
    <r>
      <rPr>
        <b/>
        <sz val="7"/>
        <color indexed="8"/>
        <rFont val="Calibri"/>
        <family val="1"/>
        <charset val="204"/>
      </rPr>
      <t xml:space="preserve">λ </t>
    </r>
    <r>
      <rPr>
        <b/>
        <sz val="7"/>
        <color indexed="8"/>
        <rFont val="Maiandra GD"/>
        <family val="1"/>
        <charset val="204"/>
      </rPr>
      <t>W/(m·K)</t>
    </r>
  </si>
  <si>
    <t>las transmitancias se redondean hacia arriba (option conservativa)</t>
  </si>
  <si>
    <t>1 Placa de yeso laminado</t>
  </si>
  <si>
    <t>2 Placa de yeso laminado</t>
  </si>
  <si>
    <t>4 Placa de yeso laminado</t>
  </si>
  <si>
    <t>5 Placa de yeso laminado</t>
  </si>
  <si>
    <t>3 MW Lana mineral (λ:0.041 (W/m·K)</t>
  </si>
  <si>
    <t xml:space="preserve"> espesor (m) </t>
  </si>
  <si>
    <t xml:space="preserve">capas                                                      </t>
  </si>
  <si>
    <t xml:space="preserve"> Cond. λ W/(m^2 K)</t>
  </si>
  <si>
    <t>R</t>
  </si>
  <si>
    <t>Cerramiento exterior</t>
  </si>
  <si>
    <t>Particion interior</t>
  </si>
  <si>
    <t>Tipo</t>
  </si>
  <si>
    <t>Posicion</t>
  </si>
  <si>
    <t>Sub Total</t>
  </si>
  <si>
    <t>U  W / (m^2 K)</t>
  </si>
  <si>
    <t>U W / (m^2 K)</t>
  </si>
  <si>
    <t>R.T.</t>
  </si>
  <si>
    <t>P02_E01_FI002</t>
  </si>
  <si>
    <t>Id</t>
  </si>
  <si>
    <t>Perimetro</t>
  </si>
  <si>
    <t>largo</t>
  </si>
  <si>
    <t>exterior</t>
  </si>
  <si>
    <t>grosor muros</t>
  </si>
  <si>
    <t>P03_E02_PE001</t>
  </si>
  <si>
    <t>S</t>
  </si>
  <si>
    <t>P03_E02_PE002</t>
  </si>
  <si>
    <t>P03_E02_PE003</t>
  </si>
  <si>
    <t>P03_E02_PE004</t>
  </si>
  <si>
    <t>E</t>
  </si>
  <si>
    <t>N</t>
  </si>
  <si>
    <t>O</t>
  </si>
  <si>
    <t>P03_E02C001</t>
  </si>
  <si>
    <t>1 Teja de arcilla cocida</t>
  </si>
  <si>
    <t>2 Cámara aire ventilada, flujo ascend.</t>
  </si>
  <si>
    <t>3 XPS Expandido</t>
  </si>
  <si>
    <t>4 Betún fieltro o lámina</t>
  </si>
  <si>
    <t>5 Forjado Entrevigado EPS mecanizado</t>
  </si>
  <si>
    <r>
      <t xml:space="preserve">Cond. </t>
    </r>
    <r>
      <rPr>
        <sz val="7"/>
        <color indexed="8"/>
        <rFont val="Calibri"/>
        <family val="1"/>
        <charset val="204"/>
      </rPr>
      <t xml:space="preserve">λ  </t>
    </r>
    <r>
      <rPr>
        <sz val="7"/>
        <color indexed="8"/>
        <rFont val="Maiandra GD"/>
        <family val="1"/>
        <charset val="204"/>
      </rPr>
      <t>W/(m·K)</t>
    </r>
  </si>
  <si>
    <t>R.T</t>
  </si>
  <si>
    <t>U</t>
  </si>
  <si>
    <t>CUB IN TEJA</t>
  </si>
  <si>
    <t>P03_E02C002</t>
  </si>
  <si>
    <t>P03_E02C003</t>
  </si>
  <si>
    <t>P03_E02C004</t>
  </si>
  <si>
    <t>P03 total</t>
  </si>
  <si>
    <t>P02 total</t>
  </si>
  <si>
    <t>Sin ventilar</t>
  </si>
  <si>
    <t>e (m)</t>
  </si>
  <si>
    <r>
      <t>No aislado</t>
    </r>
    <r>
      <rPr>
        <b/>
        <sz val="6"/>
        <color indexed="8"/>
        <rFont val="Arial"/>
        <family val="1"/>
        <charset val="204"/>
      </rPr>
      <t>nh-e</t>
    </r>
    <r>
      <rPr>
        <b/>
        <sz val="9"/>
        <color indexed="8"/>
        <rFont val="Arial"/>
        <family val="1"/>
        <charset val="204"/>
      </rPr>
      <t>-No aislado</t>
    </r>
    <r>
      <rPr>
        <b/>
        <sz val="6"/>
        <color indexed="8"/>
        <rFont val="Arial"/>
        <family val="1"/>
        <charset val="204"/>
      </rPr>
      <t>h-nh</t>
    </r>
  </si>
  <si>
    <r>
      <t>Aislado</t>
    </r>
    <r>
      <rPr>
        <b/>
        <sz val="6"/>
        <color indexed="8"/>
        <rFont val="Arial"/>
        <family val="1"/>
        <charset val="204"/>
      </rPr>
      <t>nh-e</t>
    </r>
    <r>
      <rPr>
        <b/>
        <sz val="9"/>
        <color indexed="8"/>
        <rFont val="Arial"/>
        <family val="1"/>
        <charset val="204"/>
      </rPr>
      <t>-No aislado</t>
    </r>
    <r>
      <rPr>
        <b/>
        <sz val="6"/>
        <color indexed="8"/>
        <rFont val="Arial"/>
        <family val="1"/>
        <charset val="204"/>
      </rPr>
      <t>h-nh</t>
    </r>
  </si>
  <si>
    <r>
      <t>A</t>
    </r>
    <r>
      <rPr>
        <b/>
        <sz val="6"/>
        <color indexed="8"/>
        <rFont val="Arial"/>
        <family val="1"/>
        <charset val="204"/>
      </rPr>
      <t>h-nh</t>
    </r>
    <r>
      <rPr>
        <b/>
        <sz val="9"/>
        <color indexed="8"/>
        <rFont val="Arial"/>
        <family val="1"/>
        <charset val="204"/>
      </rPr>
      <t>/A</t>
    </r>
    <r>
      <rPr>
        <b/>
        <sz val="6"/>
        <color indexed="8"/>
        <rFont val="Arial"/>
        <family val="1"/>
        <charset val="204"/>
      </rPr>
      <t>nh-e</t>
    </r>
  </si>
  <si>
    <t>CASO 1</t>
  </si>
  <si>
    <t>CASO 2</t>
  </si>
  <si>
    <t>&lt;0.25</t>
  </si>
  <si>
    <t>0.25 ≤0.50</t>
  </si>
  <si>
    <t>0.50 ≤0.75</t>
  </si>
  <si>
    <t>0.75 ≤1.00</t>
  </si>
  <si>
    <t>1.00 ≤1.25</t>
  </si>
  <si>
    <t>1.25 ≤2.00</t>
  </si>
  <si>
    <t>2.00 ≤2.50</t>
  </si>
  <si>
    <t>2.50 ≤3.00</t>
  </si>
  <si>
    <t>&gt;3.00</t>
  </si>
  <si>
    <t>A_h_nh/A_nh_e</t>
  </si>
  <si>
    <t>Coef b</t>
  </si>
  <si>
    <t>U_forjado</t>
  </si>
  <si>
    <t>U_forjado_adj</t>
  </si>
  <si>
    <t>X</t>
  </si>
  <si>
    <t>Y</t>
  </si>
  <si>
    <t>Linear Interpolation</t>
  </si>
  <si>
    <t>El siguiente ejemplo se refiere a la partición horizontal (forjado) que separa en todos los casos de estudio
la planta baja de la cámara sanitaria. Su ejecución se realiza mediante encofrado perdido. Se trata de
un caso particular de las particiones interiores que hemos visto hasta ahora. Para el caso de los suelos
en contacto con cámaras sanitarias en el DA DB-HE/1 se propone un procedimiento de cálculo para las
cámaras de aire ventiladas que cumplan simultáneamente las siguientes condiciones:</t>
  </si>
  <si>
    <t>COMPOSICIÓN DEL CERRAMIENTO</t>
  </si>
  <si>
    <r>
      <t xml:space="preserve">Cond. </t>
    </r>
    <r>
      <rPr>
        <sz val="7"/>
        <color indexed="8"/>
        <rFont val="Calibri"/>
        <family val="1"/>
        <charset val="204"/>
      </rPr>
      <t xml:space="preserve">λ </t>
    </r>
    <r>
      <rPr>
        <sz val="7"/>
        <color indexed="8"/>
        <rFont val="Maiandra GD"/>
        <family val="1"/>
        <charset val="204"/>
      </rPr>
      <t>(W/m·K )</t>
    </r>
  </si>
  <si>
    <t>3 Mortero de cemento de difusión</t>
  </si>
  <si>
    <t>6 Lámina de cloruro de polivinilo (PVC)</t>
  </si>
  <si>
    <t>4 XPS Expandido (λ:0.034 (W/m·K)</t>
  </si>
  <si>
    <t>R.Tot</t>
  </si>
  <si>
    <t>U.tot</t>
  </si>
  <si>
    <t>A_h_nh</t>
  </si>
  <si>
    <t>A_nh_e</t>
  </si>
  <si>
    <t>b</t>
  </si>
  <si>
    <r>
      <rPr>
        <b/>
        <sz val="6"/>
        <color indexed="8"/>
        <rFont val="Arial"/>
        <family val="2"/>
      </rPr>
      <t>No aislado nh-e</t>
    </r>
    <r>
      <rPr>
        <b/>
        <sz val="9"/>
        <color indexed="8"/>
        <rFont val="Arial"/>
        <family val="2"/>
      </rPr>
      <t xml:space="preserve">- Aislado </t>
    </r>
    <r>
      <rPr>
        <b/>
        <sz val="6"/>
        <color indexed="8"/>
        <rFont val="Arial"/>
        <family val="2"/>
      </rPr>
      <t>h-nh</t>
    </r>
  </si>
  <si>
    <t>U_forjadosanit</t>
  </si>
  <si>
    <t>H</t>
  </si>
  <si>
    <t>P2_E01_FI002</t>
  </si>
  <si>
    <t>techo</t>
  </si>
  <si>
    <t>area opaca</t>
  </si>
  <si>
    <t>]total</t>
  </si>
  <si>
    <t>Frentes de forjado</t>
  </si>
  <si>
    <t>longitud (m)</t>
  </si>
  <si>
    <t>Cubiertas planas</t>
  </si>
  <si>
    <t>Esquinas exteriores</t>
  </si>
  <si>
    <t>Alfeizar</t>
  </si>
  <si>
    <t>Dinteles</t>
  </si>
  <si>
    <t>Jambas</t>
  </si>
  <si>
    <t>Psi W/(m K)</t>
  </si>
  <si>
    <t xml:space="preserve">Fraccion de marco </t>
  </si>
  <si>
    <t>Rad solar H_sol;jul kWh/m^2</t>
  </si>
  <si>
    <t>Vidrio Sur</t>
  </si>
  <si>
    <t>SHADING-COEF</t>
  </si>
  <si>
    <t>Vidrio Norte</t>
  </si>
  <si>
    <t>Factor solar</t>
  </si>
  <si>
    <t>TransmisividadJulio</t>
  </si>
  <si>
    <t>Z.C.</t>
  </si>
  <si>
    <t>Horiz.</t>
  </si>
  <si>
    <t>NE</t>
  </si>
  <si>
    <t>SE</t>
  </si>
  <si>
    <t>SO</t>
  </si>
  <si>
    <t>NO</t>
  </si>
  <si>
    <t>A3</t>
  </si>
  <si>
    <t>A4</t>
  </si>
  <si>
    <t>B3</t>
  </si>
  <si>
    <t>B4</t>
  </si>
  <si>
    <t>C1</t>
  </si>
  <si>
    <t>C2</t>
  </si>
  <si>
    <t>C3</t>
  </si>
  <si>
    <t>C4</t>
  </si>
  <si>
    <t>D1</t>
  </si>
  <si>
    <t>D2</t>
  </si>
  <si>
    <t>D3</t>
  </si>
  <si>
    <t>E1</t>
  </si>
  <si>
    <t>g_gl;sh;wi</t>
  </si>
  <si>
    <t>g_gl;wi</t>
  </si>
  <si>
    <t>F_gl;sh,obst</t>
  </si>
  <si>
    <t>Ganancia Solar de Julio a través del hueco
(KWh/m^2)</t>
  </si>
  <si>
    <t>Sup. HUECO (m²)</t>
  </si>
  <si>
    <t>Fracción de marco</t>
  </si>
  <si>
    <t xml:space="preserve"> H_sol;jul (kWh / m^2)</t>
  </si>
  <si>
    <t>Solar Gain</t>
  </si>
  <si>
    <t>R/H</t>
  </si>
  <si>
    <t>retranqueo R</t>
  </si>
  <si>
    <t>alto H</t>
  </si>
  <si>
    <t>ancho W</t>
  </si>
  <si>
    <t>R/W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</si>
</sst>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0_);_(* \(#,##0.000\);_(* &quot;-&quot;??_);_(@_)"/>
    <numFmt numFmtId="169" formatCode="0.0"/>
  </numFmts>
  <fonts count="31">
    <font>
      <sz val="11"/>
      <color theme="1"/>
      <name val="Aptos Narrow"/>
      <family val="2"/>
      <scheme val="minor"/>
    </font>
    <font>
      <sz val="10"/>
      <name val="Times New Roman"/>
      <family val="1"/>
      <charset val="204"/>
    </font>
    <font>
      <sz val="7"/>
      <color indexed="8"/>
      <name val="Arial"/>
      <family val="2"/>
    </font>
    <font>
      <sz val="7"/>
      <color indexed="8"/>
      <name val="Maiandra GD"/>
      <family val="2"/>
    </font>
    <font>
      <sz val="7"/>
      <color indexed="9"/>
      <name val="Maiandra GD"/>
      <family val="2"/>
    </font>
    <font>
      <b/>
      <sz val="7"/>
      <color indexed="9"/>
      <name val="Symbol"/>
      <family val="1"/>
      <charset val="204"/>
    </font>
    <font>
      <sz val="7"/>
      <color indexed="9"/>
      <name val="Times New Roman"/>
      <family val="1"/>
      <charset val="204"/>
    </font>
    <font>
      <sz val="7"/>
      <color indexed="9"/>
      <name val="Maiandra GD"/>
      <family val="1"/>
      <charset val="204"/>
    </font>
    <font>
      <b/>
      <sz val="8"/>
      <color indexed="9"/>
      <name val="Symbol"/>
      <family val="1"/>
      <charset val="204"/>
    </font>
    <font>
      <sz val="8"/>
      <color indexed="9"/>
      <name val="Times New Roman"/>
      <family val="1"/>
      <charset val="204"/>
    </font>
    <font>
      <sz val="6"/>
      <color indexed="9"/>
      <name val="Maiandra GD"/>
      <family val="1"/>
      <charset val="204"/>
    </font>
    <font>
      <sz val="9"/>
      <color indexed="9"/>
      <name val="Maiandra GD"/>
      <family val="1"/>
      <charset val="204"/>
    </font>
    <font>
      <sz val="7"/>
      <color indexed="8"/>
      <name val="Maiandra GD"/>
      <family val="1"/>
      <charset val="204"/>
    </font>
    <font>
      <sz val="7"/>
      <color indexed="9"/>
      <name val="Arial Black"/>
      <family val="2"/>
    </font>
    <font>
      <b/>
      <sz val="7"/>
      <color indexed="9"/>
      <name val="Arial"/>
      <family val="2"/>
    </font>
    <font>
      <sz val="11"/>
      <color theme="1"/>
      <name val="Aptos Narrow"/>
      <family val="2"/>
      <scheme val="minor"/>
    </font>
    <font>
      <b/>
      <sz val="11"/>
      <color theme="1"/>
      <name val="Aptos Narrow"/>
      <family val="2"/>
      <scheme val="minor"/>
    </font>
    <font>
      <sz val="8"/>
      <name val="Aptos Narrow"/>
      <family val="2"/>
      <scheme val="minor"/>
    </font>
    <font>
      <sz val="7"/>
      <color indexed="8"/>
      <name val="Calibri"/>
      <family val="1"/>
      <charset val="204"/>
    </font>
    <font>
      <b/>
      <sz val="7"/>
      <color indexed="8"/>
      <name val="Calibri"/>
      <family val="1"/>
      <charset val="204"/>
    </font>
    <font>
      <b/>
      <sz val="7"/>
      <color indexed="8"/>
      <name val="Maiandra GD"/>
      <family val="1"/>
      <charset val="204"/>
    </font>
    <font>
      <b/>
      <sz val="9"/>
      <color indexed="8"/>
      <name val="Arial"/>
      <family val="2"/>
    </font>
    <font>
      <sz val="9"/>
      <color indexed="8"/>
      <name val="Arial"/>
      <family val="2"/>
    </font>
    <font>
      <b/>
      <sz val="6"/>
      <color indexed="8"/>
      <name val="Arial"/>
      <family val="1"/>
      <charset val="204"/>
    </font>
    <font>
      <b/>
      <sz val="9"/>
      <color indexed="8"/>
      <name val="Arial"/>
      <family val="1"/>
      <charset val="204"/>
    </font>
    <font>
      <b/>
      <sz val="10"/>
      <name val="Times New Roman"/>
      <family val="1"/>
      <charset val="204"/>
    </font>
    <font>
      <b/>
      <sz val="6"/>
      <color indexed="8"/>
      <name val="Arial"/>
      <family val="2"/>
    </font>
    <font>
      <sz val="11"/>
      <color rgb="FF9C0006"/>
      <name val="Aptos Narrow"/>
      <family val="2"/>
      <scheme val="minor"/>
    </font>
    <font>
      <sz val="11"/>
      <color rgb="FF3F3F76"/>
      <name val="Aptos Narrow"/>
      <family val="2"/>
      <scheme val="minor"/>
    </font>
    <font>
      <sz val="9"/>
      <color indexed="81"/>
      <name val="Tahoma"/>
      <charset val="1"/>
    </font>
    <font>
      <sz val="9"/>
      <color indexed="81"/>
      <name val="Tahoma"/>
      <family val="2"/>
    </font>
  </fonts>
  <fills count="10">
    <fill>
      <patternFill patternType="none"/>
    </fill>
    <fill>
      <patternFill patternType="gray125"/>
    </fill>
    <fill>
      <patternFill patternType="solid">
        <fgColor rgb="FFDDD9C4"/>
        <bgColor indexed="64"/>
      </patternFill>
    </fill>
    <fill>
      <patternFill patternType="solid">
        <fgColor rgb="FFF1DCDB"/>
        <bgColor indexed="64"/>
      </patternFill>
    </fill>
    <fill>
      <patternFill patternType="solid">
        <fgColor rgb="FFDA9593"/>
        <bgColor indexed="64"/>
      </patternFill>
    </fill>
    <fill>
      <patternFill patternType="solid">
        <fgColor rgb="FFC4BC96"/>
        <bgColor indexed="64"/>
      </patternFill>
    </fill>
    <fill>
      <patternFill patternType="solid">
        <fgColor rgb="FF585858"/>
        <bgColor indexed="64"/>
      </patternFill>
    </fill>
    <fill>
      <patternFill patternType="solid">
        <fgColor rgb="FF938953"/>
        <bgColor indexed="64"/>
      </patternFill>
    </fill>
    <fill>
      <patternFill patternType="solid">
        <fgColor rgb="FFFFC7CE"/>
      </patternFill>
    </fill>
    <fill>
      <patternFill patternType="solid">
        <fgColor rgb="FFFFCC99"/>
      </patternFill>
    </fill>
  </fills>
  <borders count="12">
    <border>
      <left/>
      <right/>
      <top/>
      <bottom/>
      <diagonal/>
    </border>
    <border>
      <left style="thin">
        <color rgb="FFD9D9D9"/>
      </left>
      <right style="thin">
        <color rgb="FFD9D9D9"/>
      </right>
      <top style="thin">
        <color rgb="FFD9D9D9"/>
      </top>
      <bottom style="thin">
        <color rgb="FFD9D9D9"/>
      </bottom>
      <diagonal/>
    </border>
    <border>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000000"/>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7F7F7F"/>
      </left>
      <right style="thin">
        <color rgb="FF7F7F7F"/>
      </right>
      <top style="thin">
        <color rgb="FF7F7F7F"/>
      </top>
      <bottom style="thin">
        <color rgb="FF7F7F7F"/>
      </bottom>
      <diagonal/>
    </border>
  </borders>
  <cellStyleXfs count="5">
    <xf numFmtId="0" fontId="0" fillId="0" borderId="0"/>
    <xf numFmtId="43" fontId="15" fillId="0" borderId="0" applyFont="0" applyFill="0" applyBorder="0" applyAlignment="0" applyProtection="0"/>
    <xf numFmtId="9" fontId="15" fillId="0" borderId="0" applyFont="0" applyFill="0" applyBorder="0" applyAlignment="0" applyProtection="0"/>
    <xf numFmtId="0" fontId="27" fillId="8" borderId="0" applyNumberFormat="0" applyBorder="0" applyAlignment="0" applyProtection="0"/>
    <xf numFmtId="0" fontId="28" fillId="9" borderId="11" applyNumberFormat="0" applyAlignment="0" applyProtection="0"/>
  </cellStyleXfs>
  <cellXfs count="66">
    <xf numFmtId="0" fontId="0" fillId="0" borderId="0" xfId="0"/>
    <xf numFmtId="0" fontId="1" fillId="0" borderId="0" xfId="0" applyFont="1" applyAlignment="1">
      <alignment horizontal="left" wrapText="1"/>
    </xf>
    <xf numFmtId="0" fontId="1" fillId="3" borderId="1" xfId="0" applyFont="1" applyFill="1" applyBorder="1" applyAlignment="1">
      <alignment horizontal="left" vertical="center" wrapText="1"/>
    </xf>
    <xf numFmtId="0" fontId="1" fillId="0" borderId="1" xfId="0" applyFont="1" applyBorder="1" applyAlignment="1">
      <alignment horizontal="left" vertical="center" wrapText="1"/>
    </xf>
    <xf numFmtId="0" fontId="3" fillId="0" borderId="1" xfId="0" applyFont="1" applyBorder="1" applyAlignment="1">
      <alignment horizontal="center" vertical="top" wrapText="1"/>
    </xf>
    <xf numFmtId="1" fontId="2" fillId="0" borderId="1" xfId="0" applyNumberFormat="1" applyFont="1" applyBorder="1" applyAlignment="1">
      <alignment horizontal="center" vertical="top" shrinkToFit="1"/>
    </xf>
    <xf numFmtId="0" fontId="1" fillId="2" borderId="0" xfId="0" applyFont="1" applyFill="1" applyAlignment="1">
      <alignment horizontal="left" wrapText="1"/>
    </xf>
    <xf numFmtId="0" fontId="3" fillId="5" borderId="0" xfId="0" applyFont="1" applyFill="1" applyAlignment="1">
      <alignment horizontal="center" vertical="top" wrapText="1"/>
    </xf>
    <xf numFmtId="0" fontId="4" fillId="6" borderId="2" xfId="0" applyFont="1" applyFill="1" applyBorder="1" applyAlignment="1">
      <alignment horizontal="left" vertical="top" wrapText="1"/>
    </xf>
    <xf numFmtId="0" fontId="4" fillId="6" borderId="3" xfId="0" applyFont="1" applyFill="1" applyBorder="1" applyAlignment="1">
      <alignment horizontal="left" vertical="top" wrapText="1" indent="1"/>
    </xf>
    <xf numFmtId="0" fontId="4" fillId="6" borderId="3" xfId="0" applyFont="1" applyFill="1" applyBorder="1" applyAlignment="1">
      <alignment horizontal="center" vertical="center" wrapText="1"/>
    </xf>
    <xf numFmtId="0" fontId="7" fillId="6" borderId="3" xfId="0" applyFont="1" applyFill="1" applyBorder="1" applyAlignment="1">
      <alignment horizontal="left" vertical="top" wrapText="1"/>
    </xf>
    <xf numFmtId="0" fontId="4" fillId="6" borderId="3" xfId="0" applyFont="1" applyFill="1" applyBorder="1" applyAlignment="1">
      <alignment horizontal="left" vertical="top" wrapText="1"/>
    </xf>
    <xf numFmtId="0" fontId="7" fillId="6" borderId="3" xfId="0" applyFont="1" applyFill="1" applyBorder="1" applyAlignment="1">
      <alignment horizontal="center" vertical="top" wrapText="1"/>
    </xf>
    <xf numFmtId="0" fontId="11" fillId="6" borderId="3" xfId="0" applyFont="1" applyFill="1" applyBorder="1" applyAlignment="1">
      <alignment horizontal="center" vertical="top" wrapText="1"/>
    </xf>
    <xf numFmtId="0" fontId="1" fillId="0" borderId="0" xfId="0" applyFont="1" applyAlignment="1">
      <alignment horizontal="left" vertical="top" wrapText="1"/>
    </xf>
    <xf numFmtId="0" fontId="1" fillId="5" borderId="0" xfId="0" applyFont="1" applyFill="1" applyAlignment="1">
      <alignment horizontal="left" wrapText="1"/>
    </xf>
    <xf numFmtId="0" fontId="14" fillId="7" borderId="0" xfId="0" applyFont="1" applyFill="1" applyAlignment="1">
      <alignment horizontal="center" vertical="top" wrapText="1"/>
    </xf>
    <xf numFmtId="0" fontId="13" fillId="7" borderId="0" xfId="0" applyFont="1" applyFill="1" applyAlignment="1">
      <alignment horizontal="center" vertical="top" wrapText="1"/>
    </xf>
    <xf numFmtId="0" fontId="3" fillId="3" borderId="1" xfId="0" applyFont="1" applyFill="1" applyBorder="1" applyAlignment="1">
      <alignment horizontal="center" vertical="center" wrapText="1"/>
    </xf>
    <xf numFmtId="1" fontId="2" fillId="3" borderId="1" xfId="0" applyNumberFormat="1" applyFont="1" applyFill="1" applyBorder="1" applyAlignment="1">
      <alignment horizontal="center" vertical="center" shrinkToFit="1"/>
    </xf>
    <xf numFmtId="0" fontId="3" fillId="4" borderId="1" xfId="0" applyFont="1" applyFill="1" applyBorder="1" applyAlignment="1">
      <alignment horizontal="center" vertical="center" wrapText="1"/>
    </xf>
    <xf numFmtId="0" fontId="1" fillId="0" borderId="0" xfId="0" applyFont="1" applyAlignment="1">
      <alignment horizontal="left" vertical="center" wrapText="1"/>
    </xf>
    <xf numFmtId="0" fontId="0" fillId="0" borderId="0" xfId="0" applyAlignment="1">
      <alignment vertical="center"/>
    </xf>
    <xf numFmtId="43" fontId="0" fillId="0" borderId="0" xfId="1" applyFont="1"/>
    <xf numFmtId="164" fontId="0" fillId="0" borderId="0" xfId="1" applyNumberFormat="1" applyFont="1"/>
    <xf numFmtId="0" fontId="16" fillId="0" borderId="0" xfId="0" applyFont="1"/>
    <xf numFmtId="164" fontId="16" fillId="0" borderId="0" xfId="1" applyNumberFormat="1" applyFont="1"/>
    <xf numFmtId="43" fontId="0" fillId="0" borderId="0" xfId="0" applyNumberFormat="1"/>
    <xf numFmtId="0" fontId="21" fillId="0" borderId="0" xfId="0" applyFont="1" applyAlignment="1">
      <alignment horizontal="center" vertical="top" wrapText="1"/>
    </xf>
    <xf numFmtId="0" fontId="21" fillId="0" borderId="6" xfId="0" applyFont="1" applyBorder="1" applyAlignment="1">
      <alignment horizontal="center" vertical="top" wrapText="1"/>
    </xf>
    <xf numFmtId="0" fontId="21" fillId="0" borderId="7" xfId="0" applyFont="1" applyBorder="1" applyAlignment="1">
      <alignment horizontal="center" vertical="top" wrapText="1"/>
    </xf>
    <xf numFmtId="0" fontId="22" fillId="0" borderId="9" xfId="0" applyFont="1" applyBorder="1" applyAlignment="1">
      <alignment horizontal="center" vertical="top" wrapText="1"/>
    </xf>
    <xf numFmtId="0" fontId="22" fillId="0" borderId="10" xfId="0" applyFont="1" applyBorder="1" applyAlignment="1">
      <alignment horizontal="center" vertical="top" wrapText="1"/>
    </xf>
    <xf numFmtId="0" fontId="22" fillId="0" borderId="5" xfId="0" applyFont="1" applyBorder="1" applyAlignment="1">
      <alignment horizontal="center" vertical="top" wrapText="1"/>
    </xf>
    <xf numFmtId="0" fontId="22" fillId="0" borderId="0" xfId="0" applyFont="1" applyAlignment="1">
      <alignment horizontal="center" vertical="top" wrapText="1"/>
    </xf>
    <xf numFmtId="43" fontId="21" fillId="0" borderId="4" xfId="1" applyFont="1" applyBorder="1" applyAlignment="1">
      <alignment horizontal="center" vertical="top" wrapText="1"/>
    </xf>
    <xf numFmtId="43" fontId="21" fillId="0" borderId="8" xfId="1" applyFont="1" applyBorder="1" applyAlignment="1">
      <alignment horizontal="center" vertical="top" shrinkToFit="1"/>
    </xf>
    <xf numFmtId="43" fontId="21" fillId="0" borderId="4" xfId="1" applyFont="1" applyBorder="1" applyAlignment="1">
      <alignment horizontal="center" vertical="top" shrinkToFit="1"/>
    </xf>
    <xf numFmtId="0" fontId="24" fillId="0" borderId="7" xfId="0" applyFont="1" applyBorder="1" applyAlignment="1">
      <alignment horizontal="center" vertical="top" wrapText="1"/>
    </xf>
    <xf numFmtId="0" fontId="21" fillId="0" borderId="10" xfId="0" applyFont="1" applyBorder="1" applyAlignment="1">
      <alignment horizontal="center" vertical="top" wrapText="1"/>
    </xf>
    <xf numFmtId="0" fontId="25" fillId="0" borderId="0" xfId="0" applyFont="1" applyAlignment="1">
      <alignment horizontal="left" wrapText="1"/>
    </xf>
    <xf numFmtId="0" fontId="13" fillId="5" borderId="0" xfId="0" applyFont="1" applyFill="1" applyAlignment="1">
      <alignment horizontal="left" vertical="top" wrapText="1"/>
    </xf>
    <xf numFmtId="0" fontId="12" fillId="0" borderId="0" xfId="0" applyFont="1" applyAlignment="1">
      <alignment horizontal="left" vertical="top" wrapText="1"/>
    </xf>
    <xf numFmtId="0" fontId="3" fillId="2" borderId="0" xfId="0" applyFont="1" applyFill="1" applyAlignment="1">
      <alignment horizontal="left" vertical="top" wrapText="1"/>
    </xf>
    <xf numFmtId="0" fontId="3" fillId="0" borderId="0" xfId="0" applyFont="1" applyAlignment="1">
      <alignment horizontal="left" vertical="center" wrapText="1"/>
    </xf>
    <xf numFmtId="0" fontId="3" fillId="5" borderId="0" xfId="0" applyFont="1" applyFill="1" applyAlignment="1">
      <alignment horizontal="left" vertical="top" wrapText="1" indent="1"/>
    </xf>
    <xf numFmtId="0" fontId="1" fillId="0" borderId="0" xfId="0" applyFont="1" applyAlignment="1">
      <alignment horizontal="left" wrapText="1"/>
    </xf>
    <xf numFmtId="0" fontId="21" fillId="0" borderId="0" xfId="0" applyFont="1" applyAlignment="1">
      <alignment horizontal="center" vertical="center" wrapText="1"/>
    </xf>
    <xf numFmtId="0" fontId="24" fillId="0" borderId="0" xfId="0" applyFont="1" applyAlignment="1">
      <alignment horizontal="center" vertical="center" wrapText="1"/>
    </xf>
    <xf numFmtId="0" fontId="21" fillId="0" borderId="5" xfId="0" applyFont="1" applyBorder="1" applyAlignment="1">
      <alignment horizontal="center" vertical="top" wrapText="1"/>
    </xf>
    <xf numFmtId="0" fontId="21" fillId="0" borderId="0" xfId="0" applyFont="1" applyAlignment="1">
      <alignment horizontal="center" vertical="top" wrapText="1"/>
    </xf>
    <xf numFmtId="0" fontId="27" fillId="8" borderId="0" xfId="3"/>
    <xf numFmtId="9" fontId="0" fillId="0" borderId="0" xfId="2" applyFont="1"/>
    <xf numFmtId="2" fontId="22" fillId="0" borderId="10" xfId="0" applyNumberFormat="1" applyFont="1" applyBorder="1" applyAlignment="1">
      <alignment horizontal="center" vertical="top" shrinkToFit="1"/>
    </xf>
    <xf numFmtId="2" fontId="22" fillId="0" borderId="10" xfId="0" applyNumberFormat="1" applyFont="1" applyBorder="1" applyAlignment="1">
      <alignment horizontal="right" vertical="top" indent="1" shrinkToFit="1"/>
    </xf>
    <xf numFmtId="169" fontId="22" fillId="0" borderId="10" xfId="0" applyNumberFormat="1" applyFont="1" applyBorder="1" applyAlignment="1">
      <alignment horizontal="center" vertical="top" shrinkToFit="1"/>
    </xf>
    <xf numFmtId="2" fontId="22" fillId="0" borderId="0" xfId="0" applyNumberFormat="1" applyFont="1" applyAlignment="1">
      <alignment horizontal="center" vertical="top" shrinkToFit="1"/>
    </xf>
    <xf numFmtId="169" fontId="22" fillId="0" borderId="0" xfId="0" applyNumberFormat="1" applyFont="1" applyAlignment="1">
      <alignment horizontal="right" vertical="top" indent="1" shrinkToFit="1"/>
    </xf>
    <xf numFmtId="2" fontId="22" fillId="0" borderId="0" xfId="0" applyNumberFormat="1" applyFont="1" applyAlignment="1">
      <alignment horizontal="right" vertical="top" indent="1" shrinkToFit="1"/>
    </xf>
    <xf numFmtId="169" fontId="22" fillId="0" borderId="0" xfId="0" applyNumberFormat="1" applyFont="1" applyAlignment="1">
      <alignment horizontal="center" vertical="top" shrinkToFit="1"/>
    </xf>
    <xf numFmtId="1" fontId="22" fillId="0" borderId="0" xfId="0" applyNumberFormat="1" applyFont="1" applyAlignment="1">
      <alignment horizontal="center" vertical="top" shrinkToFit="1"/>
    </xf>
    <xf numFmtId="2" fontId="28" fillId="9" borderId="11" xfId="4" applyNumberFormat="1" applyAlignment="1">
      <alignment horizontal="center" vertical="top" shrinkToFit="1"/>
    </xf>
    <xf numFmtId="2" fontId="0" fillId="0" borderId="0" xfId="0" applyNumberFormat="1"/>
    <xf numFmtId="0" fontId="0" fillId="0" borderId="0" xfId="0" applyAlignment="1">
      <alignment wrapText="1"/>
    </xf>
    <xf numFmtId="43" fontId="0" fillId="0" borderId="0" xfId="1" applyFont="1" applyAlignment="1">
      <alignment wrapText="1"/>
    </xf>
  </cellXfs>
  <cellStyles count="5">
    <cellStyle name="Bad" xfId="3" builtinId="27"/>
    <cellStyle name="Comma" xfId="1" builtinId="3"/>
    <cellStyle name="Input" xfId="4" builtinId="20"/>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Aisladonh-e-No aisladoh-nh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'Tabla 7 Coef b'!$B$3:$B$10</c:f>
              <c:numCache>
                <c:formatCode>General</c:formatCode>
                <c:ptCount val="8"/>
                <c:pt idx="0">
                  <c:v>0.25</c:v>
                </c:pt>
                <c:pt idx="1">
                  <c:v>0.5</c:v>
                </c:pt>
                <c:pt idx="2">
                  <c:v>0.75</c:v>
                </c:pt>
                <c:pt idx="3">
                  <c:v>1</c:v>
                </c:pt>
                <c:pt idx="4">
                  <c:v>1.25</c:v>
                </c:pt>
                <c:pt idx="5">
                  <c:v>2</c:v>
                </c:pt>
                <c:pt idx="6">
                  <c:v>2.5</c:v>
                </c:pt>
                <c:pt idx="7">
                  <c:v>3</c:v>
                </c:pt>
              </c:numCache>
            </c:numRef>
          </c:xVal>
          <c:yVal>
            <c:numRef>
              <c:f>'Tabla 7 Coef b'!$G$3:$G$11</c:f>
              <c:numCache>
                <c:formatCode>General</c:formatCode>
                <c:ptCount val="9"/>
                <c:pt idx="0">
                  <c:v>0.91</c:v>
                </c:pt>
                <c:pt idx="1">
                  <c:v>0.77</c:v>
                </c:pt>
                <c:pt idx="2">
                  <c:v>0.67</c:v>
                </c:pt>
                <c:pt idx="3">
                  <c:v>0.59</c:v>
                </c:pt>
                <c:pt idx="4">
                  <c:v>0.53</c:v>
                </c:pt>
                <c:pt idx="5">
                  <c:v>0.44</c:v>
                </c:pt>
                <c:pt idx="6">
                  <c:v>0.36</c:v>
                </c:pt>
                <c:pt idx="7">
                  <c:v>0.32</c:v>
                </c:pt>
                <c:pt idx="8">
                  <c:v>0.28000000000000003</c:v>
                </c:pt>
              </c:numCache>
            </c:numRef>
          </c:yVal>
          <c:smooth val="0"/>
          <c:extLst>
            <c:ext xmlns:c16="http://schemas.microsoft.com/office/drawing/2014/chart" uri="{C3380CC4-5D6E-409C-BE32-E72D297353CC}">
              <c16:uniqueId val="{00000000-31D5-4BAC-804A-28EC4C62E12E}"/>
            </c:ext>
          </c:extLst>
        </c:ser>
        <c:dLbls>
          <c:showLegendKey val="0"/>
          <c:showVal val="0"/>
          <c:showCatName val="0"/>
          <c:showSerName val="0"/>
          <c:showPercent val="0"/>
          <c:showBubbleSize val="0"/>
        </c:dLbls>
        <c:axId val="400130176"/>
        <c:axId val="400129216"/>
      </c:scatterChart>
      <c:valAx>
        <c:axId val="400130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29216"/>
        <c:crosses val="autoZero"/>
        <c:crossBetween val="midCat"/>
      </c:valAx>
      <c:valAx>
        <c:axId val="40012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301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49530</xdr:colOff>
      <xdr:row>2</xdr:row>
      <xdr:rowOff>68580</xdr:rowOff>
    </xdr:from>
    <xdr:to>
      <xdr:col>22</xdr:col>
      <xdr:colOff>354330</xdr:colOff>
      <xdr:row>17</xdr:row>
      <xdr:rowOff>68580</xdr:rowOff>
    </xdr:to>
    <xdr:graphicFrame macro="">
      <xdr:nvGraphicFramePr>
        <xdr:cNvPr id="3" name="Chart 2">
          <a:extLst>
            <a:ext uri="{FF2B5EF4-FFF2-40B4-BE49-F238E27FC236}">
              <a16:creationId xmlns:a16="http://schemas.microsoft.com/office/drawing/2014/main" id="{3DE3FDF3-DED2-40F4-A1CE-21DF574D4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Tomás González Llarena" id="{DACBB0D5-23B4-4453-8696-7F59420D63B7}" userId="S::alu0101841946@ull.edu.es::fd33d59d-2b26-4fcd-8fce-f7e781e6a45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12" dT="2025-11-13T06:27:46.96" personId="{DACBB0D5-23B4-4453-8696-7F59420D63B7}" id="{FC618817-3AC1-4BEC-AFDD-D6E060011D75}">
    <text xml:space="preserve">This is the total solar irradiance incident on that specific surface during the entire month of July </text>
  </threadedComment>
  <threadedComment ref="N12" dT="2025-11-13T05:58:17.20" personId="{DACBB0D5-23B4-4453-8696-7F59420D63B7}" id="{7DE148B1-D593-46A5-BBB7-1004B55FFBBB}">
    <text>Es la transmitancia total de energía solar del vidrio sin los dispositivos de sombra activos. Se expresa
habitualmente como la relación en tanto por uno entre la radiación incidente y la que finalmente atraviesa
el vidrio. Es un dato que normalmente nos facilitará el fabricante del vidrio.</text>
  </threadedComment>
  <threadedComment ref="O12" dT="2025-11-13T05:56:07.70" personId="{DACBB0D5-23B4-4453-8696-7F59420D63B7}" id="{F2745CA8-C665-4148-B44B-74B4B1E1B26C}">
    <text>This is the total solar energy transmittance of the glazing unit with the solar shading device activated (in this case, an external white blind). It's a very low value, meaning only 5% of the solar energy passes through 
Es la transmitancia total de energía solar del acristalamiento con los dispositivos de sombra móvil
activos. Sus valores los podemos obtener en la “Tabla 12 Transmitancia total de energía solar de huecos
para distintos dispositivos de sombra móvil (g_gl;sh,wi)”del DB-HE / 1. Cálculo de parámetros característicos de la envolvente.</text>
  </threadedComment>
  <threadedComment ref="Q12" dT="2025-11-13T06:30:48.22" personId="{DACBB0D5-23B4-4453-8696-7F59420D63B7}" id="{4D9F0329-B431-4C6E-8889-D21D40C6B774}">
    <text xml:space="preserve">This is the "obstruction factor" which accounts for shading from fixed external elements like overhangs, side fins, or nearby buildings. A value of 0.83 means the fixed shading reduces the solar irradiance by 17% </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7BAAD-EB31-493E-B9B9-BE0394E81867}">
  <dimension ref="A1:I2"/>
  <sheetViews>
    <sheetView workbookViewId="0">
      <selection activeCell="I2" sqref="I2"/>
    </sheetView>
  </sheetViews>
  <sheetFormatPr defaultRowHeight="14.4"/>
  <cols>
    <col min="1" max="1" width="11.109375" bestFit="1" customWidth="1"/>
    <col min="9" max="9" width="11.5546875" bestFit="1" customWidth="1"/>
  </cols>
  <sheetData>
    <row r="1" spans="1:9">
      <c r="B1" t="s">
        <v>119</v>
      </c>
      <c r="C1" t="s">
        <v>94</v>
      </c>
      <c r="I1" t="s">
        <v>120</v>
      </c>
    </row>
    <row r="2" spans="1:9">
      <c r="A2" t="s">
        <v>118</v>
      </c>
      <c r="B2">
        <v>9</v>
      </c>
      <c r="C2">
        <f>B2-2*I2</f>
        <v>8</v>
      </c>
      <c r="I2">
        <v>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F8B2E-C12B-462A-98F1-C806D5AE8640}">
  <sheetPr filterMode="1"/>
  <dimension ref="A1:K32"/>
  <sheetViews>
    <sheetView workbookViewId="0">
      <selection sqref="A1:A1048576"/>
    </sheetView>
  </sheetViews>
  <sheetFormatPr defaultRowHeight="14.4"/>
  <sheetData>
    <row r="1" spans="1:11" ht="48">
      <c r="A1" s="8" t="s">
        <v>21</v>
      </c>
      <c r="B1" s="9" t="s">
        <v>22</v>
      </c>
      <c r="C1" s="10" t="s">
        <v>23</v>
      </c>
      <c r="D1" s="11" t="s">
        <v>24</v>
      </c>
      <c r="E1" s="11" t="s">
        <v>38</v>
      </c>
      <c r="F1" s="12" t="s">
        <v>25</v>
      </c>
      <c r="G1" s="13" t="s">
        <v>26</v>
      </c>
      <c r="H1" s="13" t="s">
        <v>27</v>
      </c>
      <c r="I1" s="13" t="s">
        <v>28</v>
      </c>
      <c r="J1" s="14" t="s">
        <v>29</v>
      </c>
      <c r="K1" s="15"/>
    </row>
    <row r="2" spans="1:11" ht="37.799999999999997" hidden="1" customHeight="1">
      <c r="A2" s="43" t="s">
        <v>39</v>
      </c>
      <c r="B2" s="43"/>
      <c r="C2" s="43"/>
      <c r="D2" s="43"/>
      <c r="E2" s="43"/>
      <c r="F2" s="43"/>
      <c r="G2" s="43"/>
      <c r="H2" s="43"/>
      <c r="I2" s="43"/>
      <c r="J2" s="43"/>
      <c r="K2" s="43"/>
    </row>
    <row r="3" spans="1:11" hidden="1">
      <c r="A3" s="44" t="s">
        <v>0</v>
      </c>
      <c r="B3" s="44"/>
      <c r="C3" s="44"/>
      <c r="D3" s="44"/>
      <c r="E3" s="44"/>
      <c r="F3" s="44"/>
      <c r="G3" s="44"/>
      <c r="H3" s="44"/>
      <c r="I3" s="44"/>
      <c r="J3" s="44"/>
      <c r="K3" s="1"/>
    </row>
    <row r="4" spans="1:11" hidden="1">
      <c r="A4" s="45" t="s">
        <v>1</v>
      </c>
      <c r="B4" s="45"/>
      <c r="C4" s="45"/>
      <c r="D4" s="45"/>
      <c r="E4" s="45"/>
      <c r="F4" s="45"/>
      <c r="G4" s="45"/>
      <c r="H4" s="45"/>
      <c r="I4" s="45"/>
      <c r="J4" s="45"/>
      <c r="K4" s="45"/>
    </row>
    <row r="5" spans="1:11" s="23" customFormat="1" ht="19.2" hidden="1">
      <c r="A5" s="19" t="s">
        <v>2</v>
      </c>
      <c r="B5" s="19" t="s">
        <v>3</v>
      </c>
      <c r="C5" s="19" t="s">
        <v>40</v>
      </c>
      <c r="D5" s="20">
        <v>1</v>
      </c>
      <c r="E5" s="20">
        <v>1</v>
      </c>
      <c r="F5" s="19">
        <v>25.4</v>
      </c>
      <c r="G5" s="2"/>
      <c r="H5" s="19">
        <v>25.4</v>
      </c>
      <c r="I5" s="19">
        <v>0.22</v>
      </c>
      <c r="J5" s="21">
        <v>5.59</v>
      </c>
      <c r="K5" s="22">
        <f t="shared" ref="K5" si="0">I5*IF(F5&gt;0,F5,G5)</f>
        <v>5.5880000000000001</v>
      </c>
    </row>
    <row r="6" spans="1:11" s="23" customFormat="1">
      <c r="A6" s="19" t="s">
        <v>4</v>
      </c>
      <c r="B6" s="19" t="s">
        <v>3</v>
      </c>
      <c r="C6" s="19" t="s">
        <v>5</v>
      </c>
      <c r="D6" s="20">
        <v>1</v>
      </c>
      <c r="E6" s="20">
        <v>1</v>
      </c>
      <c r="F6" s="2"/>
      <c r="G6" s="19">
        <v>6.6</v>
      </c>
      <c r="H6" s="19">
        <v>6.6</v>
      </c>
      <c r="I6" s="19">
        <v>1.1399999999999999</v>
      </c>
      <c r="J6" s="21">
        <v>7.52</v>
      </c>
      <c r="K6" s="22">
        <f>I6*IF(F6&gt;0,F6,G6)</f>
        <v>7.5239999999999991</v>
      </c>
    </row>
    <row r="7" spans="1:11" s="23" customFormat="1" ht="19.2" hidden="1">
      <c r="A7" s="19" t="s">
        <v>6</v>
      </c>
      <c r="B7" s="19" t="s">
        <v>3</v>
      </c>
      <c r="C7" s="19" t="s">
        <v>40</v>
      </c>
      <c r="D7" s="20">
        <v>1</v>
      </c>
      <c r="E7" s="20">
        <v>1</v>
      </c>
      <c r="F7" s="19">
        <v>25.4</v>
      </c>
      <c r="G7" s="2"/>
      <c r="H7" s="19">
        <v>25.4</v>
      </c>
      <c r="I7" s="19">
        <v>0.22</v>
      </c>
      <c r="J7" s="21">
        <v>5.59</v>
      </c>
      <c r="K7" s="22">
        <f t="shared" ref="K7:K13" si="1">I7*IF(F7&gt;0,F7,G7)</f>
        <v>5.5880000000000001</v>
      </c>
    </row>
    <row r="8" spans="1:11" s="23" customFormat="1">
      <c r="A8" s="19" t="s">
        <v>7</v>
      </c>
      <c r="B8" s="19" t="s">
        <v>3</v>
      </c>
      <c r="C8" s="19" t="s">
        <v>5</v>
      </c>
      <c r="D8" s="20">
        <v>1</v>
      </c>
      <c r="E8" s="20">
        <v>1</v>
      </c>
      <c r="F8" s="2"/>
      <c r="G8" s="19">
        <v>6.6</v>
      </c>
      <c r="H8" s="19">
        <v>6.6</v>
      </c>
      <c r="I8" s="19">
        <v>1.1399999999999999</v>
      </c>
      <c r="J8" s="21">
        <v>7.52</v>
      </c>
      <c r="K8" s="22">
        <f t="shared" si="1"/>
        <v>7.5239999999999991</v>
      </c>
    </row>
    <row r="9" spans="1:11" s="23" customFormat="1" ht="19.2" hidden="1">
      <c r="A9" s="19" t="s">
        <v>8</v>
      </c>
      <c r="B9" s="19" t="s">
        <v>3</v>
      </c>
      <c r="C9" s="19" t="s">
        <v>40</v>
      </c>
      <c r="D9" s="20">
        <v>1</v>
      </c>
      <c r="E9" s="20">
        <v>1</v>
      </c>
      <c r="F9" s="19">
        <v>21</v>
      </c>
      <c r="G9" s="2"/>
      <c r="H9" s="19">
        <v>21</v>
      </c>
      <c r="I9" s="19">
        <v>0.22</v>
      </c>
      <c r="J9" s="21">
        <v>4.62</v>
      </c>
      <c r="K9" s="22">
        <f t="shared" si="1"/>
        <v>4.62</v>
      </c>
    </row>
    <row r="10" spans="1:11" s="23" customFormat="1">
      <c r="A10" s="19" t="s">
        <v>9</v>
      </c>
      <c r="B10" s="19" t="s">
        <v>3</v>
      </c>
      <c r="C10" s="19" t="s">
        <v>5</v>
      </c>
      <c r="D10" s="20">
        <v>1</v>
      </c>
      <c r="E10" s="20">
        <v>1</v>
      </c>
      <c r="F10" s="2"/>
      <c r="G10" s="19">
        <v>11</v>
      </c>
      <c r="H10" s="19">
        <v>11</v>
      </c>
      <c r="I10" s="19">
        <v>1.1399999999999999</v>
      </c>
      <c r="J10" s="21">
        <v>12.54</v>
      </c>
      <c r="K10" s="22">
        <f t="shared" si="1"/>
        <v>12.54</v>
      </c>
    </row>
    <row r="11" spans="1:11" s="23" customFormat="1" ht="19.2" hidden="1">
      <c r="A11" s="19" t="s">
        <v>10</v>
      </c>
      <c r="B11" s="19" t="s">
        <v>3</v>
      </c>
      <c r="C11" s="19" t="s">
        <v>40</v>
      </c>
      <c r="D11" s="20">
        <v>1</v>
      </c>
      <c r="E11" s="20">
        <v>1</v>
      </c>
      <c r="F11" s="19">
        <v>27.6</v>
      </c>
      <c r="G11" s="2"/>
      <c r="H11" s="19">
        <v>27.6</v>
      </c>
      <c r="I11" s="19">
        <v>0.22</v>
      </c>
      <c r="J11" s="21">
        <v>6.07</v>
      </c>
      <c r="K11" s="22">
        <f t="shared" si="1"/>
        <v>6.0720000000000001</v>
      </c>
    </row>
    <row r="12" spans="1:11" s="23" customFormat="1" hidden="1">
      <c r="A12" s="19" t="s">
        <v>11</v>
      </c>
      <c r="B12" s="19" t="s">
        <v>3</v>
      </c>
      <c r="C12" s="19" t="s">
        <v>12</v>
      </c>
      <c r="D12" s="20">
        <v>1</v>
      </c>
      <c r="E12" s="20">
        <v>1</v>
      </c>
      <c r="F12" s="2"/>
      <c r="G12" s="19">
        <v>2.2000000000000002</v>
      </c>
      <c r="H12" s="19">
        <v>2.2000000000000002</v>
      </c>
      <c r="I12" s="19">
        <v>2.2000000000000002</v>
      </c>
      <c r="J12" s="21">
        <v>4.84</v>
      </c>
      <c r="K12" s="22">
        <f t="shared" si="1"/>
        <v>4.8400000000000007</v>
      </c>
    </row>
    <row r="13" spans="1:11" s="23" customFormat="1">
      <c r="A13" s="19" t="s">
        <v>13</v>
      </c>
      <c r="B13" s="19" t="s">
        <v>3</v>
      </c>
      <c r="C13" s="19" t="s">
        <v>5</v>
      </c>
      <c r="D13" s="20">
        <v>1</v>
      </c>
      <c r="E13" s="20">
        <v>1</v>
      </c>
      <c r="F13" s="2"/>
      <c r="G13" s="19">
        <v>2.2000000000000002</v>
      </c>
      <c r="H13" s="19">
        <v>2.2000000000000002</v>
      </c>
      <c r="I13" s="19">
        <v>1.1399999999999999</v>
      </c>
      <c r="J13" s="21">
        <v>2.5099999999999998</v>
      </c>
      <c r="K13" s="22">
        <f t="shared" si="1"/>
        <v>2.508</v>
      </c>
    </row>
    <row r="14" spans="1:11" hidden="1">
      <c r="A14" s="3"/>
      <c r="B14" s="3"/>
      <c r="C14" s="3"/>
      <c r="D14" s="3"/>
      <c r="E14" s="3"/>
      <c r="F14" s="3"/>
      <c r="G14" s="3"/>
      <c r="H14" s="3"/>
      <c r="I14" s="3"/>
      <c r="J14" s="3"/>
      <c r="K14" s="1"/>
    </row>
    <row r="15" spans="1:11" hidden="1">
      <c r="A15" s="4" t="s">
        <v>14</v>
      </c>
      <c r="B15" s="4" t="s">
        <v>15</v>
      </c>
      <c r="C15" s="4" t="s">
        <v>16</v>
      </c>
      <c r="D15" s="5">
        <v>1</v>
      </c>
      <c r="E15" s="5">
        <v>0</v>
      </c>
      <c r="F15" s="4" t="s">
        <v>17</v>
      </c>
      <c r="G15" s="4" t="s">
        <v>17</v>
      </c>
      <c r="H15" s="4" t="s">
        <v>17</v>
      </c>
      <c r="I15" s="4">
        <v>0.19</v>
      </c>
      <c r="J15" s="4" t="s">
        <v>17</v>
      </c>
      <c r="K15" s="1"/>
    </row>
    <row r="16" spans="1:11" hidden="1">
      <c r="A16" s="4" t="s">
        <v>18</v>
      </c>
      <c r="B16" s="4" t="s">
        <v>15</v>
      </c>
      <c r="C16" s="4" t="s">
        <v>19</v>
      </c>
      <c r="D16" s="5">
        <v>1</v>
      </c>
      <c r="E16" s="5">
        <v>0</v>
      </c>
      <c r="F16" s="4" t="s">
        <v>17</v>
      </c>
      <c r="G16" s="4" t="s">
        <v>17</v>
      </c>
      <c r="H16" s="4" t="s">
        <v>17</v>
      </c>
      <c r="I16" s="4">
        <v>0.16</v>
      </c>
      <c r="J16" s="4" t="s">
        <v>17</v>
      </c>
      <c r="K16" s="1"/>
    </row>
    <row r="17" spans="1:11" hidden="1">
      <c r="A17" s="1"/>
      <c r="B17" s="1"/>
      <c r="C17" s="1"/>
      <c r="D17" s="1"/>
      <c r="E17" s="1"/>
      <c r="F17" s="1"/>
      <c r="G17" s="1"/>
      <c r="H17" s="1"/>
      <c r="I17" s="1"/>
      <c r="J17" s="1"/>
      <c r="K17" s="1"/>
    </row>
    <row r="18" spans="1:11" hidden="1">
      <c r="A18" s="44" t="s">
        <v>20</v>
      </c>
      <c r="B18" s="44"/>
      <c r="C18" s="44"/>
      <c r="D18" s="44"/>
      <c r="E18" s="44"/>
      <c r="F18" s="46" t="s">
        <v>41</v>
      </c>
      <c r="G18" s="46"/>
      <c r="H18" s="46"/>
      <c r="I18" s="6"/>
      <c r="J18" s="7">
        <v>56.8</v>
      </c>
      <c r="K18" s="1">
        <f>SUM(K5:K13)</f>
        <v>56.804000000000009</v>
      </c>
    </row>
    <row r="19" spans="1:11" hidden="1">
      <c r="A19" s="45" t="s">
        <v>30</v>
      </c>
      <c r="B19" s="45"/>
      <c r="C19" s="45"/>
      <c r="D19" s="45"/>
      <c r="E19" s="45"/>
      <c r="F19" s="45"/>
      <c r="G19" s="45"/>
      <c r="H19" s="45"/>
      <c r="I19" s="45"/>
      <c r="J19" s="45"/>
      <c r="K19" s="45"/>
    </row>
    <row r="20" spans="1:11" ht="19.2" hidden="1">
      <c r="A20" s="4" t="s">
        <v>2</v>
      </c>
      <c r="B20" s="4" t="s">
        <v>3</v>
      </c>
      <c r="C20" s="4" t="s">
        <v>40</v>
      </c>
      <c r="D20" s="5">
        <v>0</v>
      </c>
      <c r="E20" s="4" t="s">
        <v>17</v>
      </c>
      <c r="F20" s="4" t="s">
        <v>17</v>
      </c>
      <c r="G20" s="4" t="s">
        <v>17</v>
      </c>
      <c r="H20" s="4" t="s">
        <v>17</v>
      </c>
      <c r="I20" s="4">
        <v>0.22</v>
      </c>
      <c r="J20" s="4" t="s">
        <v>17</v>
      </c>
      <c r="K20" s="1"/>
    </row>
    <row r="21" spans="1:11" ht="19.2" hidden="1">
      <c r="A21" s="4" t="s">
        <v>6</v>
      </c>
      <c r="B21" s="4" t="s">
        <v>3</v>
      </c>
      <c r="C21" s="4" t="s">
        <v>40</v>
      </c>
      <c r="D21" s="5">
        <v>0</v>
      </c>
      <c r="E21" s="4" t="s">
        <v>17</v>
      </c>
      <c r="F21" s="4" t="s">
        <v>17</v>
      </c>
      <c r="G21" s="4" t="s">
        <v>17</v>
      </c>
      <c r="H21" s="4" t="s">
        <v>17</v>
      </c>
      <c r="I21" s="4">
        <v>0.22</v>
      </c>
      <c r="J21" s="4" t="s">
        <v>17</v>
      </c>
      <c r="K21" s="1"/>
    </row>
    <row r="22" spans="1:11" ht="19.2" hidden="1">
      <c r="A22" s="4" t="s">
        <v>8</v>
      </c>
      <c r="B22" s="4" t="s">
        <v>3</v>
      </c>
      <c r="C22" s="4" t="s">
        <v>40</v>
      </c>
      <c r="D22" s="5">
        <v>0</v>
      </c>
      <c r="E22" s="4" t="s">
        <v>17</v>
      </c>
      <c r="F22" s="4" t="s">
        <v>17</v>
      </c>
      <c r="G22" s="4" t="s">
        <v>17</v>
      </c>
      <c r="H22" s="4" t="s">
        <v>17</v>
      </c>
      <c r="I22" s="4">
        <v>0.22</v>
      </c>
      <c r="J22" s="4" t="s">
        <v>17</v>
      </c>
      <c r="K22" s="1"/>
    </row>
    <row r="23" spans="1:11" ht="19.2" hidden="1">
      <c r="A23" s="4" t="s">
        <v>10</v>
      </c>
      <c r="B23" s="4" t="s">
        <v>3</v>
      </c>
      <c r="C23" s="4" t="s">
        <v>40</v>
      </c>
      <c r="D23" s="5">
        <v>0</v>
      </c>
      <c r="E23" s="4" t="s">
        <v>17</v>
      </c>
      <c r="F23" s="4" t="s">
        <v>17</v>
      </c>
      <c r="G23" s="4" t="s">
        <v>17</v>
      </c>
      <c r="H23" s="4" t="s">
        <v>17</v>
      </c>
      <c r="I23" s="4">
        <v>0.22</v>
      </c>
      <c r="J23" s="4" t="s">
        <v>17</v>
      </c>
      <c r="K23" s="1"/>
    </row>
    <row r="24" spans="1:11" hidden="1">
      <c r="A24" s="4" t="s">
        <v>18</v>
      </c>
      <c r="B24" s="4" t="s">
        <v>15</v>
      </c>
      <c r="C24" s="4" t="s">
        <v>16</v>
      </c>
      <c r="D24" s="5">
        <v>0</v>
      </c>
      <c r="E24" s="4" t="s">
        <v>17</v>
      </c>
      <c r="F24" s="4" t="s">
        <v>17</v>
      </c>
      <c r="G24" s="4" t="s">
        <v>17</v>
      </c>
      <c r="H24" s="4" t="s">
        <v>17</v>
      </c>
      <c r="I24" s="4">
        <v>0.16</v>
      </c>
      <c r="J24" s="4" t="s">
        <v>17</v>
      </c>
      <c r="K24" s="1"/>
    </row>
    <row r="25" spans="1:11" hidden="1">
      <c r="A25" s="4" t="s">
        <v>31</v>
      </c>
      <c r="B25" s="4" t="s">
        <v>3</v>
      </c>
      <c r="C25" s="4" t="s">
        <v>32</v>
      </c>
      <c r="D25" s="5">
        <v>0</v>
      </c>
      <c r="E25" s="4" t="s">
        <v>17</v>
      </c>
      <c r="F25" s="4" t="s">
        <v>17</v>
      </c>
      <c r="G25" s="4" t="s">
        <v>17</v>
      </c>
      <c r="H25" s="4" t="s">
        <v>17</v>
      </c>
      <c r="I25" s="4">
        <v>0.17</v>
      </c>
      <c r="J25" s="4" t="s">
        <v>17</v>
      </c>
      <c r="K25" s="1"/>
    </row>
    <row r="26" spans="1:11" hidden="1">
      <c r="A26" s="4" t="s">
        <v>33</v>
      </c>
      <c r="B26" s="4" t="s">
        <v>3</v>
      </c>
      <c r="C26" s="4" t="s">
        <v>32</v>
      </c>
      <c r="D26" s="5">
        <v>0</v>
      </c>
      <c r="E26" s="4" t="s">
        <v>17</v>
      </c>
      <c r="F26" s="4" t="s">
        <v>17</v>
      </c>
      <c r="G26" s="4" t="s">
        <v>17</v>
      </c>
      <c r="H26" s="4" t="s">
        <v>17</v>
      </c>
      <c r="I26" s="4">
        <v>0.17</v>
      </c>
      <c r="J26" s="4" t="s">
        <v>17</v>
      </c>
      <c r="K26" s="1"/>
    </row>
    <row r="27" spans="1:11" hidden="1">
      <c r="A27" s="4" t="s">
        <v>34</v>
      </c>
      <c r="B27" s="4" t="s">
        <v>3</v>
      </c>
      <c r="C27" s="4" t="s">
        <v>32</v>
      </c>
      <c r="D27" s="5">
        <v>0</v>
      </c>
      <c r="E27" s="4" t="s">
        <v>17</v>
      </c>
      <c r="F27" s="4" t="s">
        <v>17</v>
      </c>
      <c r="G27" s="4" t="s">
        <v>17</v>
      </c>
      <c r="H27" s="4" t="s">
        <v>17</v>
      </c>
      <c r="I27" s="4">
        <v>0.17</v>
      </c>
      <c r="J27" s="4" t="s">
        <v>17</v>
      </c>
      <c r="K27" s="1"/>
    </row>
    <row r="28" spans="1:11" hidden="1">
      <c r="A28" s="4" t="s">
        <v>35</v>
      </c>
      <c r="B28" s="4" t="s">
        <v>3</v>
      </c>
      <c r="C28" s="4" t="s">
        <v>32</v>
      </c>
      <c r="D28" s="5">
        <v>0</v>
      </c>
      <c r="E28" s="4" t="s">
        <v>17</v>
      </c>
      <c r="F28" s="4" t="s">
        <v>17</v>
      </c>
      <c r="G28" s="4" t="s">
        <v>17</v>
      </c>
      <c r="H28" s="4" t="s">
        <v>17</v>
      </c>
      <c r="I28" s="4">
        <v>0.17</v>
      </c>
      <c r="J28" s="4" t="s">
        <v>17</v>
      </c>
      <c r="K28" s="1"/>
    </row>
    <row r="29" spans="1:11" hidden="1">
      <c r="A29" s="1"/>
      <c r="B29" s="1"/>
      <c r="C29" s="1"/>
      <c r="D29" s="1"/>
      <c r="E29" s="1"/>
      <c r="F29" s="1"/>
      <c r="G29" s="1"/>
      <c r="H29" s="1"/>
      <c r="I29" s="1"/>
      <c r="J29" s="1"/>
      <c r="K29" s="1"/>
    </row>
    <row r="30" spans="1:11" hidden="1">
      <c r="A30" s="44" t="s">
        <v>36</v>
      </c>
      <c r="B30" s="44"/>
      <c r="C30" s="44"/>
      <c r="D30" s="44"/>
      <c r="E30" s="44"/>
      <c r="F30" s="7">
        <v>0</v>
      </c>
      <c r="G30" s="7">
        <v>0</v>
      </c>
      <c r="H30" s="7">
        <v>0</v>
      </c>
      <c r="I30" s="6"/>
      <c r="J30" s="16"/>
      <c r="K30" s="1"/>
    </row>
    <row r="31" spans="1:11" hidden="1">
      <c r="A31" s="47"/>
      <c r="B31" s="47"/>
      <c r="C31" s="47"/>
      <c r="D31" s="47"/>
      <c r="E31" s="47"/>
      <c r="F31" s="1"/>
      <c r="G31" s="1"/>
      <c r="H31" s="1"/>
      <c r="I31" s="1"/>
      <c r="J31" s="1"/>
      <c r="K31" s="1"/>
    </row>
    <row r="32" spans="1:11" hidden="1">
      <c r="A32" s="42" t="s">
        <v>37</v>
      </c>
      <c r="B32" s="42"/>
      <c r="C32" s="42"/>
      <c r="D32" s="42"/>
      <c r="E32" s="42"/>
      <c r="F32" s="17">
        <v>99.4</v>
      </c>
      <c r="G32" s="17">
        <v>28.6</v>
      </c>
      <c r="H32" s="17">
        <v>128</v>
      </c>
      <c r="I32" s="16"/>
      <c r="J32" s="18">
        <v>56.8</v>
      </c>
      <c r="K32" s="1"/>
    </row>
  </sheetData>
  <autoFilter ref="A1:K32" xr:uid="{01CF8B2E-C12B-462A-98F1-C806D5AE8640}">
    <filterColumn colId="2">
      <filters>
        <filter val="VENTANA"/>
      </filters>
    </filterColumn>
  </autoFilter>
  <mergeCells count="9">
    <mergeCell ref="A32:E32"/>
    <mergeCell ref="A2:K2"/>
    <mergeCell ref="A3:J3"/>
    <mergeCell ref="A4:K4"/>
    <mergeCell ref="A18:E18"/>
    <mergeCell ref="F18:H18"/>
    <mergeCell ref="A19:K19"/>
    <mergeCell ref="A30:E30"/>
    <mergeCell ref="A31:E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7947B-81AB-4765-BCDE-7A80D8BE9932}">
  <dimension ref="A2:V19"/>
  <sheetViews>
    <sheetView tabSelected="1" topLeftCell="B4" workbookViewId="0">
      <selection activeCell="B14" sqref="A14:XFD14"/>
    </sheetView>
  </sheetViews>
  <sheetFormatPr defaultRowHeight="14.4"/>
  <cols>
    <col min="1" max="1" width="15.77734375" bestFit="1" customWidth="1"/>
    <col min="2" max="2" width="10.44140625" bestFit="1" customWidth="1"/>
    <col min="3" max="3" width="14.44140625" bestFit="1" customWidth="1"/>
    <col min="6" max="6" width="10" bestFit="1" customWidth="1"/>
    <col min="8" max="8" width="10.88671875" style="24" bestFit="1" customWidth="1"/>
    <col min="9" max="9" width="10.88671875" style="24" customWidth="1"/>
    <col min="11" max="12" width="8.88671875" style="53"/>
    <col min="13" max="13" width="24.109375" bestFit="1" customWidth="1"/>
    <col min="14" max="14" width="24.109375" customWidth="1"/>
    <col min="15" max="15" width="10.5546875" bestFit="1" customWidth="1"/>
    <col min="16" max="16" width="10.5546875" customWidth="1"/>
    <col min="18" max="18" width="11.21875" customWidth="1"/>
  </cols>
  <sheetData>
    <row r="2" spans="1:22">
      <c r="A2" t="s">
        <v>58</v>
      </c>
      <c r="B2" t="s">
        <v>42</v>
      </c>
      <c r="C2" t="s">
        <v>48</v>
      </c>
      <c r="D2" t="s">
        <v>68</v>
      </c>
      <c r="E2" t="s">
        <v>69</v>
      </c>
      <c r="F2" t="s">
        <v>183</v>
      </c>
      <c r="H2" s="24" t="s">
        <v>57</v>
      </c>
      <c r="I2" s="24" t="s">
        <v>180</v>
      </c>
      <c r="K2" s="53" t="s">
        <v>193</v>
      </c>
      <c r="M2" t="s">
        <v>194</v>
      </c>
    </row>
    <row r="3" spans="1:22">
      <c r="A3" t="s">
        <v>60</v>
      </c>
      <c r="B3" t="s">
        <v>44</v>
      </c>
      <c r="C3" t="s">
        <v>59</v>
      </c>
      <c r="D3">
        <v>8</v>
      </c>
      <c r="E3">
        <v>4</v>
      </c>
      <c r="F3">
        <f>D3*E3-G13</f>
        <v>21</v>
      </c>
      <c r="H3" s="24">
        <f>_xlfn.XLOOKUP('Huecos+Opacos'!C3,'Elementos constructivos'!A:A,'Elementos constructivos'!B:B,1)</f>
        <v>0.2134683288019987</v>
      </c>
      <c r="I3" s="24">
        <f>F3*H3</f>
        <v>4.4828349048419724</v>
      </c>
    </row>
    <row r="4" spans="1:22">
      <c r="A4" t="s">
        <v>61</v>
      </c>
      <c r="B4" t="s">
        <v>45</v>
      </c>
      <c r="C4" t="s">
        <v>59</v>
      </c>
      <c r="D4">
        <v>8</v>
      </c>
      <c r="E4">
        <v>4</v>
      </c>
      <c r="F4">
        <f>D4*E4-G14</f>
        <v>25.4</v>
      </c>
      <c r="H4" s="24">
        <f>_xlfn.XLOOKUP('Huecos+Opacos'!C4,'Elementos constructivos'!A:A,'Elementos constructivos'!B:B,1)</f>
        <v>0.2134683288019987</v>
      </c>
      <c r="I4" s="24">
        <f>F4*H4</f>
        <v>5.4220955515707665</v>
      </c>
    </row>
    <row r="5" spans="1:22">
      <c r="A5" t="s">
        <v>62</v>
      </c>
      <c r="B5" t="s">
        <v>46</v>
      </c>
      <c r="C5" t="s">
        <v>59</v>
      </c>
      <c r="D5">
        <v>8</v>
      </c>
      <c r="E5">
        <v>4</v>
      </c>
      <c r="F5">
        <f>D5*E5-G15</f>
        <v>25.4</v>
      </c>
      <c r="H5" s="24">
        <f>_xlfn.XLOOKUP('Huecos+Opacos'!C5,'Elementos constructivos'!A:A,'Elementos constructivos'!B:B,1)</f>
        <v>0.2134683288019987</v>
      </c>
      <c r="I5" s="24">
        <f>F5*H5</f>
        <v>5.4220955515707665</v>
      </c>
    </row>
    <row r="6" spans="1:22">
      <c r="A6" t="s">
        <v>63</v>
      </c>
      <c r="B6" t="s">
        <v>43</v>
      </c>
      <c r="C6" t="s">
        <v>59</v>
      </c>
      <c r="D6">
        <v>8</v>
      </c>
      <c r="E6">
        <v>4</v>
      </c>
      <c r="F6">
        <f>D6*E6-SUM(G16:G17)</f>
        <v>27.6</v>
      </c>
      <c r="H6" s="24">
        <f>_xlfn.XLOOKUP('Huecos+Opacos'!C6,'Elementos constructivos'!A:A,'Elementos constructivos'!B:B,1)</f>
        <v>0.2134683288019987</v>
      </c>
      <c r="I6" s="24">
        <f>F6*H6</f>
        <v>5.8917258749351644</v>
      </c>
    </row>
    <row r="8" spans="1:22">
      <c r="A8" t="s">
        <v>181</v>
      </c>
      <c r="C8" t="s">
        <v>182</v>
      </c>
      <c r="F8">
        <f>64</f>
        <v>64</v>
      </c>
      <c r="H8" s="24">
        <f>'Analisis atico'!K14</f>
        <v>0.16862666337425467</v>
      </c>
      <c r="I8" s="24">
        <f>F8*H8</f>
        <v>10.792106455952299</v>
      </c>
    </row>
    <row r="12" spans="1:22" s="64" customFormat="1" ht="72">
      <c r="A12" s="64" t="s">
        <v>58</v>
      </c>
      <c r="B12" s="64" t="s">
        <v>42</v>
      </c>
      <c r="C12" s="64" t="s">
        <v>48</v>
      </c>
      <c r="D12" s="64" t="s">
        <v>229</v>
      </c>
      <c r="E12" s="64" t="s">
        <v>228</v>
      </c>
      <c r="F12" s="64" t="s">
        <v>227</v>
      </c>
      <c r="G12" s="64" t="s">
        <v>222</v>
      </c>
      <c r="H12" s="65" t="s">
        <v>57</v>
      </c>
      <c r="I12" s="65" t="s">
        <v>66</v>
      </c>
      <c r="K12" s="64" t="s">
        <v>223</v>
      </c>
      <c r="L12" s="64" t="s">
        <v>199</v>
      </c>
      <c r="M12" s="64" t="s">
        <v>224</v>
      </c>
      <c r="N12" s="64" t="s">
        <v>219</v>
      </c>
      <c r="O12" s="64" t="s">
        <v>218</v>
      </c>
      <c r="Q12" s="64" t="s">
        <v>220</v>
      </c>
      <c r="R12" s="64" t="s">
        <v>221</v>
      </c>
      <c r="S12" s="64" t="s">
        <v>225</v>
      </c>
      <c r="U12" s="64" t="s">
        <v>226</v>
      </c>
      <c r="V12" s="64" t="s">
        <v>230</v>
      </c>
    </row>
    <row r="13" spans="1:22">
      <c r="A13" t="s">
        <v>51</v>
      </c>
      <c r="B13" t="s">
        <v>44</v>
      </c>
      <c r="C13" t="s">
        <v>49</v>
      </c>
      <c r="D13">
        <v>5</v>
      </c>
      <c r="E13">
        <v>2.2000000000000002</v>
      </c>
      <c r="F13">
        <v>0.5</v>
      </c>
      <c r="G13">
        <f>D13*E13</f>
        <v>11</v>
      </c>
      <c r="H13" s="24">
        <v>1.1299999999999999</v>
      </c>
      <c r="I13" s="24">
        <f>H13*G13</f>
        <v>12.43</v>
      </c>
      <c r="K13" s="53">
        <v>0.25</v>
      </c>
      <c r="L13">
        <v>0.05</v>
      </c>
      <c r="M13" s="63">
        <f>'Hsol;jul Pensinsula'!F13</f>
        <v>82.09</v>
      </c>
      <c r="N13" s="63">
        <v>0.42</v>
      </c>
      <c r="O13">
        <v>0.05</v>
      </c>
      <c r="P13">
        <v>0.62</v>
      </c>
      <c r="Q13" s="52">
        <v>0.56000000000000005</v>
      </c>
      <c r="R13" s="63">
        <f>M13*N13*O13</f>
        <v>1.7238900000000001</v>
      </c>
      <c r="S13">
        <f t="shared" ref="S13:S17" si="0">G13*(1-K13)*M13*O13*Q13</f>
        <v>18.962790000000005</v>
      </c>
      <c r="U13">
        <f>F13/E13</f>
        <v>0.22727272727272727</v>
      </c>
      <c r="V13">
        <f>F13/D13</f>
        <v>0.1</v>
      </c>
    </row>
    <row r="14" spans="1:22">
      <c r="A14" t="s">
        <v>52</v>
      </c>
      <c r="B14" t="s">
        <v>45</v>
      </c>
      <c r="C14" t="s">
        <v>49</v>
      </c>
      <c r="D14">
        <v>3</v>
      </c>
      <c r="E14">
        <v>2.2000000000000002</v>
      </c>
      <c r="F14">
        <v>0.5</v>
      </c>
      <c r="G14">
        <f>D14*E14</f>
        <v>6.6000000000000005</v>
      </c>
      <c r="H14" s="24">
        <v>1.1299999999999999</v>
      </c>
      <c r="I14" s="24">
        <f>H14*G14</f>
        <v>7.4580000000000002</v>
      </c>
      <c r="K14" s="53">
        <v>0.25</v>
      </c>
      <c r="L14">
        <v>0.05</v>
      </c>
      <c r="M14" s="63">
        <f>'Hsol;jul Pensinsula'!D13</f>
        <v>114.88</v>
      </c>
      <c r="N14" s="63">
        <v>0.61</v>
      </c>
      <c r="O14">
        <v>0.05</v>
      </c>
      <c r="Q14" s="52">
        <v>0.84</v>
      </c>
      <c r="R14" s="63">
        <f t="shared" ref="R14:R17" si="1">M14*N14*O14</f>
        <v>3.5038399999999998</v>
      </c>
      <c r="S14">
        <f t="shared" si="0"/>
        <v>23.883551999999998</v>
      </c>
    </row>
    <row r="15" spans="1:22">
      <c r="A15" t="s">
        <v>53</v>
      </c>
      <c r="B15" t="s">
        <v>46</v>
      </c>
      <c r="C15" t="s">
        <v>49</v>
      </c>
      <c r="D15">
        <v>3</v>
      </c>
      <c r="E15">
        <v>2.2000000000000002</v>
      </c>
      <c r="F15">
        <v>0.5</v>
      </c>
      <c r="G15">
        <f>D15*E15</f>
        <v>6.6000000000000005</v>
      </c>
      <c r="H15" s="24">
        <v>1.1299999999999999</v>
      </c>
      <c r="I15" s="24">
        <f>H15*G15</f>
        <v>7.4580000000000002</v>
      </c>
      <c r="K15" s="53">
        <v>0.25</v>
      </c>
      <c r="L15">
        <v>0.05</v>
      </c>
      <c r="M15" s="63">
        <f>'Hsol;jul Pensinsula'!J13</f>
        <v>56.67</v>
      </c>
      <c r="N15" s="63">
        <v>0.61</v>
      </c>
      <c r="O15">
        <v>0.05</v>
      </c>
      <c r="Q15" s="52">
        <v>0.83</v>
      </c>
      <c r="R15" s="63">
        <f t="shared" si="1"/>
        <v>1.7284350000000002</v>
      </c>
      <c r="S15">
        <f>G15*(1-K15)*M15*O15*Q15</f>
        <v>11.64143475</v>
      </c>
    </row>
    <row r="16" spans="1:22">
      <c r="A16" t="s">
        <v>55</v>
      </c>
      <c r="B16" t="s">
        <v>43</v>
      </c>
      <c r="C16" t="s">
        <v>56</v>
      </c>
      <c r="D16">
        <v>1</v>
      </c>
      <c r="E16">
        <v>2.2000000000000002</v>
      </c>
      <c r="G16">
        <f>D16*E16</f>
        <v>2.2000000000000002</v>
      </c>
      <c r="H16" s="24">
        <v>2.2000000000000002</v>
      </c>
      <c r="I16" s="24">
        <f>H16*G16</f>
        <v>4.8400000000000007</v>
      </c>
      <c r="K16" s="53">
        <v>1</v>
      </c>
      <c r="L16"/>
      <c r="N16" s="63">
        <v>0.61</v>
      </c>
      <c r="O16">
        <v>0</v>
      </c>
      <c r="Q16" s="52">
        <v>0.81</v>
      </c>
      <c r="R16" s="63">
        <f>M17*N16*O16</f>
        <v>0</v>
      </c>
      <c r="S16">
        <f t="shared" ref="S16:S17" si="2">G16*(1-K16)*M16*O16*Q16</f>
        <v>0</v>
      </c>
    </row>
    <row r="17" spans="1:19">
      <c r="A17" t="s">
        <v>54</v>
      </c>
      <c r="B17" t="s">
        <v>43</v>
      </c>
      <c r="C17" t="s">
        <v>49</v>
      </c>
      <c r="D17">
        <v>1</v>
      </c>
      <c r="E17">
        <v>2.2000000000000002</v>
      </c>
      <c r="F17">
        <v>0.5</v>
      </c>
      <c r="G17">
        <f>D17*E17</f>
        <v>2.2000000000000002</v>
      </c>
      <c r="H17" s="24">
        <v>1.1299999999999999</v>
      </c>
      <c r="I17" s="24">
        <f>H17*G17</f>
        <v>2.4859999999999998</v>
      </c>
      <c r="K17" s="53">
        <v>0.25</v>
      </c>
      <c r="L17">
        <v>0.05</v>
      </c>
      <c r="M17" s="63">
        <f>'Hsol;jul Pensinsula'!H13</f>
        <v>106.71</v>
      </c>
      <c r="N17" s="63">
        <v>0.42</v>
      </c>
      <c r="O17">
        <v>0.05</v>
      </c>
      <c r="Q17" s="52">
        <v>0.81</v>
      </c>
      <c r="R17" s="63">
        <f>M17*N17*O17</f>
        <v>2.24091</v>
      </c>
      <c r="S17">
        <f t="shared" si="2"/>
        <v>7.1308957500000005</v>
      </c>
    </row>
    <row r="19" spans="1:19">
      <c r="A19" t="s">
        <v>184</v>
      </c>
      <c r="I19" s="24">
        <f>SUM(I3:I17)</f>
        <v>66.682858338870972</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4A9E7-0C78-416D-9A1E-3E755F8CAF46}">
  <dimension ref="A1:J13"/>
  <sheetViews>
    <sheetView workbookViewId="0">
      <selection activeCell="L19" sqref="L19"/>
    </sheetView>
  </sheetViews>
  <sheetFormatPr defaultRowHeight="14.4"/>
  <sheetData>
    <row r="1" spans="1:10">
      <c r="A1" s="31" t="s">
        <v>200</v>
      </c>
      <c r="B1" s="31" t="s">
        <v>201</v>
      </c>
      <c r="C1" s="31" t="s">
        <v>202</v>
      </c>
      <c r="D1" s="31" t="s">
        <v>126</v>
      </c>
      <c r="E1" s="31" t="s">
        <v>203</v>
      </c>
      <c r="F1" s="31" t="s">
        <v>122</v>
      </c>
      <c r="G1" s="31" t="s">
        <v>204</v>
      </c>
      <c r="H1" s="31" t="s">
        <v>128</v>
      </c>
      <c r="I1" s="31" t="s">
        <v>205</v>
      </c>
      <c r="J1" s="31" t="s">
        <v>127</v>
      </c>
    </row>
    <row r="2" spans="1:10">
      <c r="A2" s="40" t="s">
        <v>206</v>
      </c>
      <c r="B2" s="54">
        <v>220.36</v>
      </c>
      <c r="C2" s="54">
        <v>96.73</v>
      </c>
      <c r="D2" s="54">
        <v>127.81</v>
      </c>
      <c r="E2" s="55">
        <v>117.82</v>
      </c>
      <c r="F2" s="54">
        <v>89.53</v>
      </c>
      <c r="G2" s="54">
        <v>115.84</v>
      </c>
      <c r="H2" s="56">
        <v>124.7</v>
      </c>
      <c r="I2" s="56">
        <v>94.3</v>
      </c>
      <c r="J2" s="54">
        <v>59.39</v>
      </c>
    </row>
    <row r="3" spans="1:10">
      <c r="A3" s="29" t="s">
        <v>207</v>
      </c>
      <c r="B3" s="57">
        <v>235.35</v>
      </c>
      <c r="C3" s="57">
        <v>99.25</v>
      </c>
      <c r="D3" s="57">
        <v>132.86000000000001</v>
      </c>
      <c r="E3" s="58">
        <v>123.7</v>
      </c>
      <c r="F3" s="57">
        <v>94.78</v>
      </c>
      <c r="G3" s="57">
        <v>123.83</v>
      </c>
      <c r="H3" s="57">
        <v>133.97</v>
      </c>
      <c r="I3" s="57">
        <v>100.69</v>
      </c>
      <c r="J3" s="57">
        <v>61.12</v>
      </c>
    </row>
    <row r="4" spans="1:10">
      <c r="A4" s="29" t="s">
        <v>208</v>
      </c>
      <c r="B4" s="57">
        <v>220.33</v>
      </c>
      <c r="C4" s="57">
        <v>92.03</v>
      </c>
      <c r="D4" s="57">
        <v>121.85</v>
      </c>
      <c r="E4" s="59">
        <v>114.45</v>
      </c>
      <c r="F4" s="57">
        <v>89.73</v>
      </c>
      <c r="G4" s="57">
        <v>114.64</v>
      </c>
      <c r="H4" s="57">
        <v>122.02</v>
      </c>
      <c r="I4" s="57">
        <v>92.07</v>
      </c>
      <c r="J4" s="57">
        <v>57.92</v>
      </c>
    </row>
    <row r="5" spans="1:10">
      <c r="A5" s="29" t="s">
        <v>209</v>
      </c>
      <c r="B5" s="57">
        <v>235.31</v>
      </c>
      <c r="C5" s="60">
        <v>101.7</v>
      </c>
      <c r="D5" s="57">
        <v>135.63999999999999</v>
      </c>
      <c r="E5" s="59">
        <v>125.09</v>
      </c>
      <c r="F5" s="57">
        <v>94.13</v>
      </c>
      <c r="G5" s="57">
        <v>121.94</v>
      </c>
      <c r="H5" s="57">
        <v>131.13999999999999</v>
      </c>
      <c r="I5" s="57">
        <v>98.48</v>
      </c>
      <c r="J5" s="61">
        <v>61</v>
      </c>
    </row>
    <row r="6" spans="1:10">
      <c r="A6" s="29" t="s">
        <v>210</v>
      </c>
      <c r="B6" s="57">
        <v>195.77</v>
      </c>
      <c r="C6" s="57">
        <v>88.49</v>
      </c>
      <c r="D6" s="57">
        <v>114.47</v>
      </c>
      <c r="E6" s="59">
        <v>106.12</v>
      </c>
      <c r="F6" s="57">
        <v>81.72</v>
      </c>
      <c r="G6" s="57">
        <v>101.55</v>
      </c>
      <c r="H6" s="57">
        <v>108.06</v>
      </c>
      <c r="I6" s="61">
        <v>84</v>
      </c>
      <c r="J6" s="57">
        <v>56.85</v>
      </c>
    </row>
    <row r="7" spans="1:10">
      <c r="A7" s="29" t="s">
        <v>211</v>
      </c>
      <c r="B7" s="57">
        <v>217.19</v>
      </c>
      <c r="C7" s="57">
        <v>96.61</v>
      </c>
      <c r="D7" s="57">
        <v>128.05000000000001</v>
      </c>
      <c r="E7" s="59">
        <v>117.89</v>
      </c>
      <c r="F7" s="57">
        <v>88.17</v>
      </c>
      <c r="G7" s="57">
        <v>111.22</v>
      </c>
      <c r="H7" s="57">
        <v>118.78</v>
      </c>
      <c r="I7" s="57">
        <v>90.17</v>
      </c>
      <c r="J7" s="57">
        <v>58.23</v>
      </c>
    </row>
    <row r="8" spans="1:10">
      <c r="A8" s="29" t="s">
        <v>212</v>
      </c>
      <c r="B8" s="57">
        <v>220.34</v>
      </c>
      <c r="C8" s="57">
        <v>97.05</v>
      </c>
      <c r="D8" s="57">
        <v>128.62</v>
      </c>
      <c r="E8" s="59">
        <v>118.69</v>
      </c>
      <c r="F8" s="57">
        <v>89.37</v>
      </c>
      <c r="G8" s="57">
        <v>115.69</v>
      </c>
      <c r="H8" s="57">
        <v>125.22</v>
      </c>
      <c r="I8" s="57">
        <v>95.24</v>
      </c>
      <c r="J8" s="57">
        <v>59.61</v>
      </c>
    </row>
    <row r="9" spans="1:10">
      <c r="A9" s="29" t="s">
        <v>213</v>
      </c>
      <c r="B9" s="57">
        <v>235.35</v>
      </c>
      <c r="C9" s="57">
        <v>101.78</v>
      </c>
      <c r="D9" s="57">
        <v>136.41</v>
      </c>
      <c r="E9" s="59">
        <v>126.01</v>
      </c>
      <c r="F9" s="57">
        <v>94.84</v>
      </c>
      <c r="G9" s="57">
        <v>121.68</v>
      </c>
      <c r="H9" s="57">
        <v>130.08000000000001</v>
      </c>
      <c r="I9" s="57">
        <v>97.16</v>
      </c>
      <c r="J9" s="57">
        <v>60.36</v>
      </c>
    </row>
    <row r="10" spans="1:10">
      <c r="A10" s="29" t="s">
        <v>214</v>
      </c>
      <c r="B10" s="60">
        <v>195.8</v>
      </c>
      <c r="C10" s="57">
        <v>88.53</v>
      </c>
      <c r="D10" s="57">
        <v>114.54</v>
      </c>
      <c r="E10" s="59">
        <v>106.15</v>
      </c>
      <c r="F10" s="57">
        <v>81.96</v>
      </c>
      <c r="G10" s="57">
        <v>101.33</v>
      </c>
      <c r="H10" s="57">
        <v>107.19</v>
      </c>
      <c r="I10" s="57">
        <v>82.96</v>
      </c>
      <c r="J10" s="57">
        <v>56.51</v>
      </c>
    </row>
    <row r="11" spans="1:10">
      <c r="A11" s="29" t="s">
        <v>215</v>
      </c>
      <c r="B11" s="57">
        <v>217.18</v>
      </c>
      <c r="C11" s="57">
        <v>94.76</v>
      </c>
      <c r="D11" s="57">
        <v>125.48</v>
      </c>
      <c r="E11" s="59">
        <v>116.31</v>
      </c>
      <c r="F11" s="57">
        <v>88.51</v>
      </c>
      <c r="G11" s="57">
        <v>113.39</v>
      </c>
      <c r="H11" s="57">
        <v>121.59</v>
      </c>
      <c r="I11" s="57">
        <v>92.18</v>
      </c>
      <c r="J11" s="57">
        <v>58.27</v>
      </c>
    </row>
    <row r="12" spans="1:10">
      <c r="A12" s="29" t="s">
        <v>216</v>
      </c>
      <c r="B12" s="57">
        <v>220.32</v>
      </c>
      <c r="C12" s="57">
        <v>94.22</v>
      </c>
      <c r="D12" s="57">
        <v>124.81</v>
      </c>
      <c r="E12" s="59">
        <v>116.03</v>
      </c>
      <c r="F12" s="57">
        <v>89.15</v>
      </c>
      <c r="G12" s="57">
        <v>115.91</v>
      </c>
      <c r="H12" s="57">
        <v>125.24</v>
      </c>
      <c r="I12" s="57">
        <v>94.95</v>
      </c>
      <c r="J12" s="57">
        <v>58.91</v>
      </c>
    </row>
    <row r="13" spans="1:10">
      <c r="A13" s="29" t="s">
        <v>217</v>
      </c>
      <c r="B13" s="57">
        <v>195.79</v>
      </c>
      <c r="C13" s="57">
        <v>88.95</v>
      </c>
      <c r="D13" s="62">
        <v>114.88</v>
      </c>
      <c r="E13" s="59">
        <v>106.34</v>
      </c>
      <c r="F13" s="62">
        <v>82.09</v>
      </c>
      <c r="G13" s="57">
        <v>101.16</v>
      </c>
      <c r="H13" s="62">
        <v>106.71</v>
      </c>
      <c r="I13" s="57">
        <v>82.58</v>
      </c>
      <c r="J13" s="62">
        <v>56.67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975EB-E7E9-4D0C-ABCE-66050C86528D}">
  <dimension ref="A1:C3"/>
  <sheetViews>
    <sheetView workbookViewId="0">
      <selection activeCell="D1" sqref="D1:D2"/>
    </sheetView>
  </sheetViews>
  <sheetFormatPr defaultRowHeight="14.4"/>
  <cols>
    <col min="1" max="1" width="10.5546875" bestFit="1" customWidth="1"/>
    <col min="2" max="2" width="14.109375" bestFit="1" customWidth="1"/>
  </cols>
  <sheetData>
    <row r="1" spans="1:3">
      <c r="B1" t="s">
        <v>196</v>
      </c>
      <c r="C1" t="s">
        <v>198</v>
      </c>
    </row>
    <row r="2" spans="1:3">
      <c r="A2" t="s">
        <v>195</v>
      </c>
      <c r="B2">
        <v>0.48837209999999998</v>
      </c>
      <c r="C2">
        <v>0.42</v>
      </c>
    </row>
    <row r="3" spans="1:3">
      <c r="A3" t="s">
        <v>197</v>
      </c>
      <c r="B3">
        <v>0.70930230000000005</v>
      </c>
      <c r="C3">
        <v>0.61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1C036-C950-488D-990D-2575FE766F05}">
  <dimension ref="A1:P8"/>
  <sheetViews>
    <sheetView workbookViewId="0">
      <selection activeCell="C4" sqref="C4"/>
    </sheetView>
  </sheetViews>
  <sheetFormatPr defaultRowHeight="14.4"/>
  <cols>
    <col min="1" max="1" width="15.5546875" bestFit="1" customWidth="1"/>
    <col min="2" max="2" width="10.33203125" bestFit="1" customWidth="1"/>
  </cols>
  <sheetData>
    <row r="1" spans="1:16">
      <c r="B1" t="s">
        <v>186</v>
      </c>
      <c r="C1" t="s">
        <v>192</v>
      </c>
    </row>
    <row r="2" spans="1:16">
      <c r="A2" t="s">
        <v>185</v>
      </c>
      <c r="B2">
        <v>32</v>
      </c>
      <c r="C2">
        <v>0.1</v>
      </c>
      <c r="D2">
        <f>B2*C2</f>
        <v>3.2</v>
      </c>
      <c r="P2">
        <f>B8-130</f>
        <v>30.199999999999989</v>
      </c>
    </row>
    <row r="3" spans="1:16">
      <c r="A3" t="s">
        <v>187</v>
      </c>
      <c r="B3" s="52">
        <v>62.2</v>
      </c>
      <c r="C3">
        <v>0.22500000000000001</v>
      </c>
      <c r="D3">
        <f t="shared" ref="D3:D7" si="0">B3*C3</f>
        <v>13.995000000000001</v>
      </c>
    </row>
    <row r="4" spans="1:16">
      <c r="A4" t="s">
        <v>188</v>
      </c>
      <c r="B4">
        <v>18</v>
      </c>
      <c r="C4">
        <v>4.2999999999999997E-2</v>
      </c>
      <c r="D4">
        <f t="shared" si="0"/>
        <v>0.77399999999999991</v>
      </c>
    </row>
    <row r="5" spans="1:16">
      <c r="A5" t="s">
        <v>189</v>
      </c>
      <c r="B5">
        <v>13</v>
      </c>
      <c r="C5">
        <v>0.51</v>
      </c>
      <c r="D5">
        <f t="shared" si="0"/>
        <v>6.63</v>
      </c>
    </row>
    <row r="6" spans="1:16">
      <c r="A6" t="s">
        <v>190</v>
      </c>
      <c r="B6">
        <v>13</v>
      </c>
      <c r="C6">
        <v>0</v>
      </c>
      <c r="D6">
        <f t="shared" si="0"/>
        <v>0</v>
      </c>
    </row>
    <row r="7" spans="1:16">
      <c r="A7" t="s">
        <v>191</v>
      </c>
      <c r="B7">
        <v>22</v>
      </c>
      <c r="C7">
        <v>0.01</v>
      </c>
      <c r="D7">
        <f t="shared" si="0"/>
        <v>0.22</v>
      </c>
    </row>
    <row r="8" spans="1:16">
      <c r="B8">
        <f>SUM(B2:B7)</f>
        <v>160.19999999999999</v>
      </c>
      <c r="D8">
        <f>SUM(D2:D7)</f>
        <v>24.818999999999999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51C21-B11C-474B-B2F3-C34AE1933E7C}">
  <dimension ref="A1:B3"/>
  <sheetViews>
    <sheetView workbookViewId="0">
      <selection activeCell="B3" sqref="B3"/>
    </sheetView>
  </sheetViews>
  <sheetFormatPr defaultRowHeight="14.4"/>
  <cols>
    <col min="1" max="1" width="14.44140625" bestFit="1" customWidth="1"/>
  </cols>
  <sheetData>
    <row r="1" spans="1:2">
      <c r="A1" t="s">
        <v>64</v>
      </c>
      <c r="B1" t="s">
        <v>65</v>
      </c>
    </row>
    <row r="2" spans="1:2">
      <c r="A2" t="s">
        <v>59</v>
      </c>
      <c r="B2" s="28">
        <f>'MURO EXTERIOR'!D13</f>
        <v>0.2134683288019987</v>
      </c>
    </row>
    <row r="3" spans="1:2">
      <c r="A3" t="s">
        <v>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DB4C3-1339-477F-8DF7-BDE564CE8D67}">
  <dimension ref="A1:F10"/>
  <sheetViews>
    <sheetView workbookViewId="0">
      <selection activeCell="F16" sqref="F16"/>
    </sheetView>
  </sheetViews>
  <sheetFormatPr defaultRowHeight="14.4"/>
  <cols>
    <col min="1" max="1" width="32.21875" bestFit="1" customWidth="1"/>
    <col min="2" max="2" width="10.44140625" bestFit="1" customWidth="1"/>
    <col min="3" max="3" width="11.5546875" bestFit="1" customWidth="1"/>
    <col min="4" max="4" width="11.5546875" customWidth="1"/>
    <col min="5" max="5" width="25.5546875" style="24" bestFit="1" customWidth="1"/>
  </cols>
  <sheetData>
    <row r="1" spans="1:6">
      <c r="A1" t="s">
        <v>70</v>
      </c>
      <c r="B1" t="s">
        <v>71</v>
      </c>
      <c r="C1" t="s">
        <v>72</v>
      </c>
      <c r="D1" t="s">
        <v>114</v>
      </c>
      <c r="E1" s="24" t="s">
        <v>79</v>
      </c>
      <c r="F1" t="s">
        <v>113</v>
      </c>
    </row>
    <row r="2" spans="1:6">
      <c r="A2" t="s">
        <v>73</v>
      </c>
      <c r="B2">
        <v>0.01</v>
      </c>
      <c r="C2">
        <v>2.2999999999999998</v>
      </c>
      <c r="E2" s="24">
        <f t="shared" ref="E2:E5" si="0">IFERROR(B2/C2,D2)</f>
        <v>4.3478260869565218E-3</v>
      </c>
    </row>
    <row r="3" spans="1:6">
      <c r="A3" t="s">
        <v>74</v>
      </c>
      <c r="B3">
        <v>5.5E-2</v>
      </c>
      <c r="C3">
        <v>0.55000000000000004</v>
      </c>
      <c r="E3" s="24">
        <f t="shared" si="0"/>
        <v>9.9999999999999992E-2</v>
      </c>
    </row>
    <row r="4" spans="1:6">
      <c r="A4" t="s">
        <v>75</v>
      </c>
      <c r="B4">
        <v>0.12</v>
      </c>
      <c r="C4">
        <v>3.4000000000000002E-2</v>
      </c>
      <c r="E4" s="24">
        <f t="shared" si="0"/>
        <v>3.5294117647058818</v>
      </c>
    </row>
    <row r="5" spans="1:6">
      <c r="A5" t="s">
        <v>76</v>
      </c>
      <c r="B5">
        <v>0.25</v>
      </c>
      <c r="C5">
        <v>0.90800000000000003</v>
      </c>
      <c r="E5" s="24">
        <f t="shared" si="0"/>
        <v>0.2753303964757709</v>
      </c>
    </row>
    <row r="6" spans="1:6">
      <c r="A6" t="s">
        <v>77</v>
      </c>
      <c r="B6">
        <v>0.05</v>
      </c>
      <c r="D6">
        <f>'R capas de aire sin ventilar '!B5</f>
        <v>0.16</v>
      </c>
      <c r="E6" s="24">
        <f>IFERROR(B6/C6,D6)</f>
        <v>0.16</v>
      </c>
    </row>
    <row r="7" spans="1:6">
      <c r="A7" t="s">
        <v>78</v>
      </c>
      <c r="B7">
        <v>1.4999999999999999E-2</v>
      </c>
      <c r="C7">
        <v>0.25</v>
      </c>
      <c r="E7" s="24">
        <f t="shared" ref="E7" si="1">IFERROR(B7/C7,D7)</f>
        <v>0.06</v>
      </c>
    </row>
    <row r="8" spans="1:6">
      <c r="A8" t="s">
        <v>90</v>
      </c>
      <c r="E8" s="24">
        <f>'Resistencias superficiales'!F6</f>
        <v>0.1</v>
      </c>
    </row>
    <row r="9" spans="1:6">
      <c r="A9" t="s">
        <v>89</v>
      </c>
      <c r="E9" s="24">
        <f>'Resistencias superficiales'!E6</f>
        <v>0.1</v>
      </c>
    </row>
    <row r="10" spans="1:6">
      <c r="A10" t="s">
        <v>106</v>
      </c>
      <c r="E10" s="24">
        <f>SUM(E2:E9)</f>
        <v>4.3290899872686079</v>
      </c>
      <c r="F10" s="24">
        <f>1/E10</f>
        <v>0.23099542927980093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D44D9-704D-4850-8564-40D8959684EC}">
  <dimension ref="A1:D10"/>
  <sheetViews>
    <sheetView workbookViewId="0">
      <selection activeCell="G1" sqref="G1"/>
    </sheetView>
  </sheetViews>
  <sheetFormatPr defaultRowHeight="14.4"/>
  <cols>
    <col min="1" max="1" width="30.33203125" bestFit="1" customWidth="1"/>
    <col min="2" max="2" width="11.109375" bestFit="1" customWidth="1"/>
    <col min="4" max="4" width="8.88671875" style="24"/>
  </cols>
  <sheetData>
    <row r="1" spans="1:4">
      <c r="A1" t="s">
        <v>104</v>
      </c>
      <c r="B1" t="s">
        <v>103</v>
      </c>
      <c r="C1" t="s">
        <v>105</v>
      </c>
      <c r="D1" s="24" t="s">
        <v>106</v>
      </c>
    </row>
    <row r="2" spans="1:4">
      <c r="A2" t="s">
        <v>98</v>
      </c>
      <c r="B2">
        <v>1.2999999999999999E-2</v>
      </c>
      <c r="C2">
        <v>0.25</v>
      </c>
      <c r="D2" s="24">
        <f>B2/C2</f>
        <v>5.1999999999999998E-2</v>
      </c>
    </row>
    <row r="3" spans="1:4">
      <c r="A3" t="s">
        <v>99</v>
      </c>
      <c r="B3">
        <v>1.2999999999999999E-2</v>
      </c>
      <c r="C3">
        <v>0.25</v>
      </c>
      <c r="D3" s="24">
        <f t="shared" ref="D3:D6" si="0">B3/C3</f>
        <v>5.1999999999999998E-2</v>
      </c>
    </row>
    <row r="4" spans="1:4">
      <c r="A4" t="s">
        <v>102</v>
      </c>
      <c r="B4">
        <v>0.04</v>
      </c>
      <c r="C4">
        <v>4.1000000000000002E-2</v>
      </c>
      <c r="D4" s="24">
        <f t="shared" si="0"/>
        <v>0.97560975609756095</v>
      </c>
    </row>
    <row r="5" spans="1:4">
      <c r="A5" t="s">
        <v>100</v>
      </c>
      <c r="B5">
        <v>1.2999999999999999E-2</v>
      </c>
      <c r="C5">
        <v>0.25</v>
      </c>
      <c r="D5" s="24">
        <f t="shared" si="0"/>
        <v>5.1999999999999998E-2</v>
      </c>
    </row>
    <row r="6" spans="1:4">
      <c r="A6" t="s">
        <v>101</v>
      </c>
      <c r="B6">
        <v>1.2999999999999999E-2</v>
      </c>
      <c r="C6">
        <v>0.25</v>
      </c>
      <c r="D6" s="24">
        <f t="shared" si="0"/>
        <v>5.1999999999999998E-2</v>
      </c>
    </row>
    <row r="7" spans="1:4">
      <c r="A7" t="s">
        <v>89</v>
      </c>
      <c r="D7" s="24">
        <f>'Resistencias superficiales'!E5</f>
        <v>0.13</v>
      </c>
    </row>
    <row r="8" spans="1:4">
      <c r="A8" t="s">
        <v>90</v>
      </c>
      <c r="D8" s="24">
        <f>'Resistencias superficiales'!F5</f>
        <v>0.13</v>
      </c>
    </row>
    <row r="9" spans="1:4">
      <c r="A9" t="s">
        <v>106</v>
      </c>
      <c r="D9" s="24">
        <f>SUM(D2:D8)</f>
        <v>1.4436097560975609</v>
      </c>
    </row>
    <row r="10" spans="1:4">
      <c r="A10" t="s">
        <v>112</v>
      </c>
      <c r="D10" s="24">
        <f>1/D9</f>
        <v>0.6927079813475705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5E04-3215-4E62-9BCE-51A4BF6A2995}">
  <dimension ref="A1:E13"/>
  <sheetViews>
    <sheetView workbookViewId="0"/>
  </sheetViews>
  <sheetFormatPr defaultRowHeight="14.4"/>
  <cols>
    <col min="1" max="1" width="30.21875" bestFit="1" customWidth="1"/>
    <col min="2" max="2" width="10.44140625" bestFit="1" customWidth="1"/>
    <col min="3" max="3" width="12.88671875" bestFit="1" customWidth="1"/>
    <col min="4" max="4" width="8.88671875" style="25"/>
  </cols>
  <sheetData>
    <row r="1" spans="1:5" s="26" customFormat="1">
      <c r="A1" s="26" t="s">
        <v>70</v>
      </c>
      <c r="B1" s="26" t="s">
        <v>71</v>
      </c>
      <c r="C1" s="26" t="s">
        <v>96</v>
      </c>
      <c r="D1" s="27" t="s">
        <v>86</v>
      </c>
    </row>
    <row r="2" spans="1:5">
      <c r="A2" t="s">
        <v>80</v>
      </c>
      <c r="B2">
        <v>0.03</v>
      </c>
      <c r="C2">
        <v>0.55000000000000004</v>
      </c>
      <c r="D2" s="25">
        <f>B2/C2</f>
        <v>5.4545454545454536E-2</v>
      </c>
    </row>
    <row r="3" spans="1:5">
      <c r="A3" t="s">
        <v>81</v>
      </c>
      <c r="B3">
        <v>0.14000000000000001</v>
      </c>
      <c r="C3">
        <v>3.7999999999999999E-2</v>
      </c>
      <c r="D3" s="25">
        <f t="shared" ref="D3:D8" si="0">B3/C3</f>
        <v>3.6842105263157898</v>
      </c>
    </row>
    <row r="4" spans="1:5">
      <c r="A4" t="s">
        <v>82</v>
      </c>
      <c r="B4">
        <v>0.24</v>
      </c>
      <c r="C4">
        <v>0.66700000000000004</v>
      </c>
      <c r="D4" s="25">
        <f t="shared" si="0"/>
        <v>0.35982008995502246</v>
      </c>
    </row>
    <row r="5" spans="1:5">
      <c r="A5" t="s">
        <v>83</v>
      </c>
      <c r="B5">
        <v>0.01</v>
      </c>
      <c r="C5">
        <v>0.55000000000000004</v>
      </c>
      <c r="D5" s="25">
        <f t="shared" si="0"/>
        <v>1.8181818181818181E-2</v>
      </c>
    </row>
    <row r="6" spans="1:5">
      <c r="A6" t="s">
        <v>84</v>
      </c>
      <c r="B6">
        <v>0.05</v>
      </c>
      <c r="C6">
        <f>_xlfn.XLOOKUP(B6,'R capas de aire sin ventilar '!A3:A5,'R capas de aire sin ventilar '!C3:C5)</f>
        <v>0.18</v>
      </c>
      <c r="D6" s="25">
        <f t="shared" si="0"/>
        <v>0.27777777777777779</v>
      </c>
    </row>
    <row r="7" spans="1:5">
      <c r="A7" t="s">
        <v>78</v>
      </c>
      <c r="B7">
        <v>1.4999999999999999E-2</v>
      </c>
      <c r="C7">
        <v>0.25</v>
      </c>
      <c r="D7" s="25">
        <f t="shared" si="0"/>
        <v>0.06</v>
      </c>
    </row>
    <row r="8" spans="1:5">
      <c r="A8" t="s">
        <v>85</v>
      </c>
      <c r="B8">
        <v>1.4999999999999999E-2</v>
      </c>
      <c r="C8">
        <v>0.25</v>
      </c>
      <c r="D8" s="25">
        <f t="shared" si="0"/>
        <v>0.06</v>
      </c>
    </row>
    <row r="9" spans="1:5">
      <c r="A9" t="s">
        <v>111</v>
      </c>
      <c r="B9">
        <f>SUM(B2:B8)</f>
        <v>0.5</v>
      </c>
      <c r="D9" s="25">
        <f>SUM(D2:D8)</f>
        <v>4.5145356667758625</v>
      </c>
    </row>
    <row r="10" spans="1:5">
      <c r="A10" t="s">
        <v>89</v>
      </c>
      <c r="D10" s="25">
        <f>'Resistencias superficiales'!E2</f>
        <v>0.04</v>
      </c>
    </row>
    <row r="11" spans="1:5">
      <c r="A11" t="s">
        <v>90</v>
      </c>
      <c r="D11" s="25">
        <f>'Resistencias superficiales'!F2</f>
        <v>0.13</v>
      </c>
    </row>
    <row r="12" spans="1:5">
      <c r="A12" t="s">
        <v>106</v>
      </c>
      <c r="D12" s="25">
        <f>SUM(D9:D11)</f>
        <v>4.6845356667758624</v>
      </c>
    </row>
    <row r="13" spans="1:5">
      <c r="A13" s="26" t="s">
        <v>57</v>
      </c>
      <c r="D13" s="25">
        <f>1/D12</f>
        <v>0.2134683288019987</v>
      </c>
      <c r="E13" t="s">
        <v>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971B6-41D9-457D-B5F6-D4218EE2489E}">
  <dimension ref="A1:D11"/>
  <sheetViews>
    <sheetView workbookViewId="0">
      <selection activeCell="B30" sqref="B30"/>
    </sheetView>
  </sheetViews>
  <sheetFormatPr defaultRowHeight="14.4"/>
  <cols>
    <col min="1" max="1" width="32.21875" bestFit="1" customWidth="1"/>
    <col min="2" max="2" width="10.44140625" bestFit="1" customWidth="1"/>
    <col min="3" max="3" width="11.5546875" bestFit="1" customWidth="1"/>
  </cols>
  <sheetData>
    <row r="1" spans="1:4">
      <c r="A1" t="s">
        <v>70</v>
      </c>
      <c r="B1" t="s">
        <v>71</v>
      </c>
      <c r="C1" t="s">
        <v>135</v>
      </c>
      <c r="D1" t="s">
        <v>106</v>
      </c>
    </row>
    <row r="2" spans="1:4">
      <c r="A2" t="s">
        <v>130</v>
      </c>
      <c r="B2">
        <v>1.4999999999999999E-2</v>
      </c>
      <c r="C2">
        <v>1000</v>
      </c>
      <c r="D2">
        <f>B2/C2</f>
        <v>1.4999999999999999E-5</v>
      </c>
    </row>
    <row r="3" spans="1:4">
      <c r="A3" t="s">
        <v>131</v>
      </c>
      <c r="B3">
        <v>0.05</v>
      </c>
      <c r="C3">
        <v>0.06</v>
      </c>
      <c r="D3">
        <f t="shared" ref="D3:D7" si="0">B3/C3</f>
        <v>0.83333333333333337</v>
      </c>
    </row>
    <row r="4" spans="1:4">
      <c r="A4" t="s">
        <v>132</v>
      </c>
      <c r="B4">
        <v>0.16</v>
      </c>
      <c r="C4">
        <v>3.4000000000000002E-2</v>
      </c>
      <c r="D4">
        <f t="shared" si="0"/>
        <v>4.7058823529411766</v>
      </c>
    </row>
    <row r="5" spans="1:4">
      <c r="A5" t="s">
        <v>133</v>
      </c>
      <c r="B5">
        <v>0.01</v>
      </c>
      <c r="C5">
        <v>0.23</v>
      </c>
      <c r="D5">
        <f t="shared" si="0"/>
        <v>4.3478260869565216E-2</v>
      </c>
    </row>
    <row r="6" spans="1:4">
      <c r="A6" t="s">
        <v>134</v>
      </c>
      <c r="B6">
        <v>0.25</v>
      </c>
      <c r="C6">
        <v>0.26600000000000001</v>
      </c>
      <c r="D6">
        <f t="shared" si="0"/>
        <v>0.93984962406015038</v>
      </c>
    </row>
    <row r="7" spans="1:4">
      <c r="A7" t="s">
        <v>78</v>
      </c>
      <c r="B7">
        <v>1.4999999999999999E-2</v>
      </c>
      <c r="C7">
        <v>0.25</v>
      </c>
      <c r="D7">
        <f t="shared" si="0"/>
        <v>0.06</v>
      </c>
    </row>
    <row r="8" spans="1:4">
      <c r="A8" t="s">
        <v>90</v>
      </c>
    </row>
    <row r="9" spans="1:4">
      <c r="A9" t="s">
        <v>89</v>
      </c>
    </row>
    <row r="10" spans="1:4">
      <c r="A10" t="s">
        <v>136</v>
      </c>
      <c r="D10">
        <f>SUM(D2:D9)</f>
        <v>6.5825585712042249</v>
      </c>
    </row>
    <row r="11" spans="1:4">
      <c r="A11" t="s">
        <v>137</v>
      </c>
      <c r="D11">
        <f>1/D10</f>
        <v>0.15191661254250841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25270-65E7-4E1B-B159-7A31899B29F8}">
  <dimension ref="A1:X25"/>
  <sheetViews>
    <sheetView workbookViewId="0"/>
  </sheetViews>
  <sheetFormatPr defaultRowHeight="14.4"/>
  <cols>
    <col min="1" max="1" width="13.88671875" bestFit="1" customWidth="1"/>
    <col min="2" max="2" width="14.44140625" bestFit="1" customWidth="1"/>
    <col min="3" max="3" width="10.44140625" bestFit="1" customWidth="1"/>
    <col min="4" max="4" width="10.44140625" customWidth="1"/>
    <col min="5" max="5" width="10.44140625" style="24" customWidth="1"/>
    <col min="6" max="6" width="9" style="24" bestFit="1" customWidth="1"/>
    <col min="7" max="8" width="8.88671875" style="24"/>
    <col min="9" max="9" width="14.21875" bestFit="1" customWidth="1"/>
    <col min="11" max="11" width="13.109375" bestFit="1" customWidth="1"/>
  </cols>
  <sheetData>
    <row r="1" spans="1:24">
      <c r="A1" t="s">
        <v>116</v>
      </c>
      <c r="B1" t="s">
        <v>64</v>
      </c>
      <c r="C1" t="s">
        <v>42</v>
      </c>
      <c r="D1" t="s">
        <v>118</v>
      </c>
      <c r="E1" s="24" t="s">
        <v>47</v>
      </c>
      <c r="F1" s="24" t="s">
        <v>117</v>
      </c>
      <c r="G1" s="24" t="s">
        <v>50</v>
      </c>
      <c r="H1" s="24" t="s">
        <v>162</v>
      </c>
      <c r="I1" s="24" t="s">
        <v>160</v>
      </c>
      <c r="J1" s="24" t="s">
        <v>161</v>
      </c>
      <c r="K1" s="24" t="s">
        <v>163</v>
      </c>
      <c r="L1" s="24" t="s">
        <v>180</v>
      </c>
    </row>
    <row r="2" spans="1:24">
      <c r="A2" t="s">
        <v>115</v>
      </c>
      <c r="B2" t="s">
        <v>67</v>
      </c>
      <c r="C2" t="s">
        <v>88</v>
      </c>
      <c r="D2">
        <f>l</f>
        <v>8</v>
      </c>
      <c r="F2" s="24">
        <f>4*D2</f>
        <v>32</v>
      </c>
      <c r="G2" s="24">
        <f>l^2</f>
        <v>64</v>
      </c>
    </row>
    <row r="3" spans="1:24">
      <c r="A3" t="s">
        <v>143</v>
      </c>
      <c r="G3" s="24">
        <f>G2</f>
        <v>64</v>
      </c>
      <c r="H3" s="24">
        <f>'FOR INT AC-NH'!F10</f>
        <v>0.23099542927980093</v>
      </c>
      <c r="O3" s="26"/>
      <c r="P3" s="26"/>
      <c r="Q3" s="26"/>
      <c r="R3" s="26"/>
      <c r="S3" s="26"/>
      <c r="T3" s="26"/>
      <c r="U3" s="26"/>
      <c r="V3" s="26"/>
      <c r="W3" s="26"/>
      <c r="X3" s="26"/>
    </row>
    <row r="5" spans="1:24">
      <c r="A5" t="s">
        <v>121</v>
      </c>
      <c r="B5" t="s">
        <v>59</v>
      </c>
      <c r="C5" t="s">
        <v>122</v>
      </c>
      <c r="F5" s="24">
        <f>l</f>
        <v>8</v>
      </c>
      <c r="G5" s="24">
        <f>l*grosor_muros</f>
        <v>4</v>
      </c>
    </row>
    <row r="6" spans="1:24">
      <c r="A6" t="s">
        <v>123</v>
      </c>
      <c r="B6" t="s">
        <v>59</v>
      </c>
      <c r="C6" t="s">
        <v>126</v>
      </c>
      <c r="F6" s="24">
        <f>l</f>
        <v>8</v>
      </c>
      <c r="G6" s="24">
        <f>l*grosor_muros</f>
        <v>4</v>
      </c>
    </row>
    <row r="7" spans="1:24">
      <c r="A7" t="s">
        <v>124</v>
      </c>
      <c r="B7" t="s">
        <v>59</v>
      </c>
      <c r="C7" t="s">
        <v>127</v>
      </c>
      <c r="F7" s="24">
        <f>l</f>
        <v>8</v>
      </c>
      <c r="G7" s="24">
        <f>l*grosor_muros</f>
        <v>4</v>
      </c>
    </row>
    <row r="8" spans="1:24">
      <c r="A8" t="s">
        <v>125</v>
      </c>
      <c r="B8" t="s">
        <v>59</v>
      </c>
      <c r="C8" t="s">
        <v>128</v>
      </c>
      <c r="F8" s="24">
        <f>l</f>
        <v>8</v>
      </c>
      <c r="G8" s="24">
        <f>l*grosor_muros</f>
        <v>4</v>
      </c>
    </row>
    <row r="9" spans="1:24">
      <c r="A9" t="s">
        <v>129</v>
      </c>
      <c r="B9" t="s">
        <v>138</v>
      </c>
      <c r="C9" t="s">
        <v>122</v>
      </c>
      <c r="D9">
        <f>l</f>
        <v>8</v>
      </c>
      <c r="E9" s="24">
        <f>l/SQRT(2)</f>
        <v>5.6568542494923797</v>
      </c>
      <c r="G9" s="24">
        <f>D9*E9/2</f>
        <v>22.627416997969519</v>
      </c>
    </row>
    <row r="10" spans="1:24">
      <c r="A10" t="s">
        <v>139</v>
      </c>
      <c r="B10" t="s">
        <v>138</v>
      </c>
      <c r="C10" t="s">
        <v>126</v>
      </c>
      <c r="D10">
        <f>l</f>
        <v>8</v>
      </c>
      <c r="E10" s="24">
        <f>l/SQRT(2)</f>
        <v>5.6568542494923797</v>
      </c>
      <c r="G10" s="24">
        <f t="shared" ref="G10:G12" si="0">D10*E10/2</f>
        <v>22.627416997969519</v>
      </c>
    </row>
    <row r="11" spans="1:24">
      <c r="A11" t="s">
        <v>140</v>
      </c>
      <c r="B11" t="s">
        <v>138</v>
      </c>
      <c r="C11" t="s">
        <v>127</v>
      </c>
      <c r="D11">
        <f>l</f>
        <v>8</v>
      </c>
      <c r="E11" s="24">
        <f>l/SQRT(2)</f>
        <v>5.6568542494923797</v>
      </c>
      <c r="G11" s="24">
        <f t="shared" si="0"/>
        <v>22.627416997969519</v>
      </c>
    </row>
    <row r="12" spans="1:24">
      <c r="A12" t="s">
        <v>141</v>
      </c>
      <c r="B12" t="s">
        <v>138</v>
      </c>
      <c r="C12" t="s">
        <v>128</v>
      </c>
      <c r="D12">
        <f>l</f>
        <v>8</v>
      </c>
      <c r="E12" s="24">
        <f>l/SQRT(2)</f>
        <v>5.6568542494923797</v>
      </c>
      <c r="G12" s="24">
        <f t="shared" si="0"/>
        <v>22.627416997969519</v>
      </c>
    </row>
    <row r="13" spans="1:24">
      <c r="A13" t="s">
        <v>142</v>
      </c>
      <c r="G13" s="24">
        <f>SUM(G5:G12)</f>
        <v>106.50966799187808</v>
      </c>
    </row>
    <row r="14" spans="1:24">
      <c r="I14">
        <f>A_h_nh/A_nh_e</f>
        <v>0.60088441928933944</v>
      </c>
      <c r="J14">
        <f>P25</f>
        <v>0.73</v>
      </c>
      <c r="K14" s="28">
        <f>H3*J14</f>
        <v>0.16862666337425467</v>
      </c>
      <c r="L14" s="28">
        <f>K14*A_h_nh</f>
        <v>10.792106455952299</v>
      </c>
    </row>
    <row r="20" spans="15:16">
      <c r="O20" t="s">
        <v>166</v>
      </c>
    </row>
    <row r="21" spans="15:16">
      <c r="O21" t="s">
        <v>164</v>
      </c>
      <c r="P21" t="s">
        <v>165</v>
      </c>
    </row>
    <row r="22" spans="15:16">
      <c r="O22">
        <f>'Tabla 7 Coef b'!B4</f>
        <v>0.5</v>
      </c>
      <c r="P22">
        <f>'Tabla 7 Coef b'!G4</f>
        <v>0.77</v>
      </c>
    </row>
    <row r="23" spans="15:16">
      <c r="O23">
        <f>'Tabla 7 Coef b'!B5</f>
        <v>0.75</v>
      </c>
      <c r="P23">
        <f>'Tabla 7 Coef b'!G5</f>
        <v>0.67</v>
      </c>
    </row>
    <row r="25" spans="15:16">
      <c r="O25">
        <f>'Analisis atico'!I14</f>
        <v>0.60088441928933944</v>
      </c>
      <c r="P25">
        <f>_xlfn.FORECAST.LINEAR(0.6,P22:P23,O22:O23)</f>
        <v>0.73</v>
      </c>
    </row>
  </sheetData>
  <phoneticPr fontId="17"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9EA34-207A-44DD-8D6F-DA5824A2FC2D}">
  <dimension ref="A1:K13"/>
  <sheetViews>
    <sheetView workbookViewId="0">
      <selection activeCell="K6" sqref="K6"/>
    </sheetView>
  </sheetViews>
  <sheetFormatPr defaultRowHeight="14.4"/>
  <cols>
    <col min="1" max="1" width="29.21875" customWidth="1"/>
    <col min="2" max="2" width="15.33203125" customWidth="1"/>
    <col min="3" max="3" width="15.21875" customWidth="1"/>
    <col min="9" max="9" width="13.109375" bestFit="1" customWidth="1"/>
  </cols>
  <sheetData>
    <row r="1" spans="1:11">
      <c r="A1" t="s">
        <v>167</v>
      </c>
    </row>
    <row r="3" spans="1:11">
      <c r="A3" t="s">
        <v>168</v>
      </c>
    </row>
    <row r="4" spans="1:11">
      <c r="A4" t="s">
        <v>70</v>
      </c>
      <c r="B4" t="s">
        <v>71</v>
      </c>
      <c r="C4" t="s">
        <v>169</v>
      </c>
      <c r="D4" t="s">
        <v>106</v>
      </c>
      <c r="E4" t="s">
        <v>174</v>
      </c>
      <c r="G4" t="s">
        <v>175</v>
      </c>
      <c r="H4" t="s">
        <v>176</v>
      </c>
      <c r="I4" t="s">
        <v>160</v>
      </c>
      <c r="J4" t="s">
        <v>177</v>
      </c>
      <c r="K4" t="s">
        <v>179</v>
      </c>
    </row>
    <row r="5" spans="1:11">
      <c r="A5" t="s">
        <v>73</v>
      </c>
      <c r="B5">
        <v>0.01</v>
      </c>
      <c r="C5">
        <v>2.2999999999999998</v>
      </c>
      <c r="D5">
        <f>B5/C5</f>
        <v>4.3478260869565218E-3</v>
      </c>
      <c r="G5">
        <v>64</v>
      </c>
      <c r="H5">
        <f>64+8*4*1</f>
        <v>96</v>
      </c>
      <c r="I5">
        <f>G5/H5</f>
        <v>0.66666666666666663</v>
      </c>
      <c r="J5">
        <f>'Tabla 7 Coef b'!C5</f>
        <v>0.96</v>
      </c>
      <c r="K5">
        <f>E13*J5</f>
        <v>0.20683608266372541</v>
      </c>
    </row>
    <row r="6" spans="1:11">
      <c r="A6" t="s">
        <v>74</v>
      </c>
      <c r="B6">
        <v>2.5000000000000001E-2</v>
      </c>
      <c r="C6">
        <v>0.55000000000000004</v>
      </c>
      <c r="D6">
        <f t="shared" ref="D6:D10" si="0">B6/C6</f>
        <v>4.5454545454545456E-2</v>
      </c>
    </row>
    <row r="7" spans="1:11">
      <c r="A7" t="s">
        <v>170</v>
      </c>
      <c r="B7">
        <v>0.06</v>
      </c>
      <c r="C7">
        <v>0.55000000000000004</v>
      </c>
      <c r="D7">
        <f t="shared" si="0"/>
        <v>0.10909090909090907</v>
      </c>
    </row>
    <row r="8" spans="1:11">
      <c r="A8" t="s">
        <v>172</v>
      </c>
      <c r="B8">
        <v>0.1</v>
      </c>
      <c r="C8">
        <v>3.4000000000000002E-2</v>
      </c>
      <c r="D8">
        <f t="shared" si="0"/>
        <v>2.9411764705882351</v>
      </c>
    </row>
    <row r="9" spans="1:11">
      <c r="A9" t="s">
        <v>134</v>
      </c>
      <c r="B9">
        <v>0.3</v>
      </c>
      <c r="C9">
        <v>0.25600000000000001</v>
      </c>
      <c r="D9">
        <f t="shared" si="0"/>
        <v>1.171875</v>
      </c>
    </row>
    <row r="10" spans="1:11">
      <c r="A10" t="s">
        <v>171</v>
      </c>
      <c r="B10">
        <v>5.0000000000000001E-3</v>
      </c>
      <c r="C10">
        <v>0.17</v>
      </c>
      <c r="D10">
        <f t="shared" si="0"/>
        <v>2.9411764705882353E-2</v>
      </c>
    </row>
    <row r="11" spans="1:11">
      <c r="A11" t="s">
        <v>90</v>
      </c>
      <c r="D11">
        <f>'Resistencias superficiales'!F7</f>
        <v>0.17</v>
      </c>
    </row>
    <row r="12" spans="1:11">
      <c r="A12" t="s">
        <v>89</v>
      </c>
      <c r="D12">
        <f>'Resistencias superficiales'!E7</f>
        <v>0.17</v>
      </c>
    </row>
    <row r="13" spans="1:11">
      <c r="A13" t="s">
        <v>173</v>
      </c>
      <c r="D13">
        <f>SUM(D5:D12)</f>
        <v>4.6413565159265282</v>
      </c>
      <c r="E13">
        <f>1/D13</f>
        <v>0.21545425277471397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C5B73-284E-4F62-8B2B-022DEA6BE03D}">
  <dimension ref="A1:L13"/>
  <sheetViews>
    <sheetView workbookViewId="0">
      <selection activeCell="N1" sqref="N1:W28"/>
    </sheetView>
  </sheetViews>
  <sheetFormatPr defaultRowHeight="14.4"/>
  <cols>
    <col min="3" max="8" width="18.21875" customWidth="1"/>
    <col min="9" max="9" width="0" hidden="1" customWidth="1"/>
    <col min="10" max="11" width="10.109375" hidden="1" customWidth="1"/>
    <col min="12" max="13" width="0" hidden="1" customWidth="1"/>
  </cols>
  <sheetData>
    <row r="1" spans="1:12" s="26" customFormat="1" ht="14.4" customHeight="1">
      <c r="A1" s="41"/>
      <c r="C1" s="48" t="s">
        <v>178</v>
      </c>
      <c r="D1" s="48"/>
      <c r="E1" s="49" t="s">
        <v>146</v>
      </c>
      <c r="F1" s="49"/>
      <c r="G1" s="49" t="s">
        <v>147</v>
      </c>
      <c r="H1" s="49"/>
    </row>
    <row r="2" spans="1:12">
      <c r="A2" s="39" t="s">
        <v>148</v>
      </c>
      <c r="C2" s="31" t="s">
        <v>149</v>
      </c>
      <c r="D2" s="31" t="s">
        <v>150</v>
      </c>
      <c r="E2" s="31" t="s">
        <v>149</v>
      </c>
      <c r="F2" s="31" t="s">
        <v>150</v>
      </c>
      <c r="G2" s="31" t="s">
        <v>149</v>
      </c>
      <c r="H2" s="31" t="s">
        <v>150</v>
      </c>
      <c r="I2" s="39" t="s">
        <v>148</v>
      </c>
    </row>
    <row r="3" spans="1:12">
      <c r="A3" s="40" t="s">
        <v>151</v>
      </c>
      <c r="B3">
        <v>0.25</v>
      </c>
      <c r="C3" s="33">
        <v>0.99</v>
      </c>
      <c r="D3" s="33">
        <v>1</v>
      </c>
      <c r="E3" s="33">
        <v>0.94</v>
      </c>
      <c r="F3" s="33">
        <v>0.97</v>
      </c>
      <c r="G3" s="33">
        <v>0.91</v>
      </c>
      <c r="H3" s="33">
        <v>0.96</v>
      </c>
      <c r="L3" t="e">
        <f ca="1">FORECAST(#REF!,OFFSET(knownY,MATCH(#REF!,knownX,1)-1,0,2),OFFSET(knownX,MATCH(#REF!,knownX,1)-1,0,2))</f>
        <v>#REF!</v>
      </c>
    </row>
    <row r="4" spans="1:12">
      <c r="A4" s="29" t="s">
        <v>152</v>
      </c>
      <c r="B4">
        <v>0.5</v>
      </c>
      <c r="C4" s="35">
        <v>0.97</v>
      </c>
      <c r="D4" s="35">
        <v>0.99</v>
      </c>
      <c r="E4" s="35">
        <v>0.85</v>
      </c>
      <c r="F4" s="35">
        <v>0.92</v>
      </c>
      <c r="G4" s="35">
        <v>0.77</v>
      </c>
      <c r="H4" s="35">
        <v>0.9</v>
      </c>
      <c r="L4">
        <f t="shared" ref="L4:L10" ca="1" si="0">FORECAST(B3,OFFSET(knownY,MATCH(B3,knownX,1)-1,0,2),OFFSET(knownX,MATCH(B3,knownX,1)-1,0,2))</f>
        <v>0.91</v>
      </c>
    </row>
    <row r="5" spans="1:12">
      <c r="A5" s="29" t="s">
        <v>153</v>
      </c>
      <c r="B5">
        <v>0.75</v>
      </c>
      <c r="C5" s="35">
        <v>0.96</v>
      </c>
      <c r="D5" s="35">
        <v>0.98</v>
      </c>
      <c r="E5" s="35">
        <v>0.77</v>
      </c>
      <c r="F5" s="35">
        <v>0.87</v>
      </c>
      <c r="G5" s="35">
        <v>0.67</v>
      </c>
      <c r="H5" s="35">
        <v>0.84</v>
      </c>
      <c r="K5" s="35"/>
      <c r="L5">
        <f t="shared" ca="1" si="0"/>
        <v>0.77</v>
      </c>
    </row>
    <row r="6" spans="1:12">
      <c r="A6" s="29" t="s">
        <v>154</v>
      </c>
      <c r="B6">
        <v>1</v>
      </c>
      <c r="C6" s="35">
        <v>0.94</v>
      </c>
      <c r="D6" s="35">
        <v>0.97</v>
      </c>
      <c r="E6" s="35">
        <v>0.7</v>
      </c>
      <c r="F6" s="35">
        <v>0.83</v>
      </c>
      <c r="G6" s="35">
        <v>0.59</v>
      </c>
      <c r="H6" s="35">
        <v>0.79</v>
      </c>
      <c r="L6">
        <f t="shared" ca="1" si="0"/>
        <v>0.67</v>
      </c>
    </row>
    <row r="7" spans="1:12">
      <c r="A7" s="29" t="s">
        <v>155</v>
      </c>
      <c r="B7">
        <v>1.25</v>
      </c>
      <c r="C7" s="35">
        <v>0.92</v>
      </c>
      <c r="D7" s="35">
        <v>0.96</v>
      </c>
      <c r="E7" s="35">
        <v>0.65</v>
      </c>
      <c r="F7" s="35">
        <v>0.79</v>
      </c>
      <c r="G7" s="35">
        <v>0.53</v>
      </c>
      <c r="H7" s="35">
        <v>0.74</v>
      </c>
      <c r="L7">
        <f t="shared" ca="1" si="0"/>
        <v>0.59000000000000008</v>
      </c>
    </row>
    <row r="8" spans="1:12">
      <c r="A8" s="29" t="s">
        <v>156</v>
      </c>
      <c r="B8">
        <v>2</v>
      </c>
      <c r="C8" s="35">
        <v>0.89</v>
      </c>
      <c r="D8" s="35">
        <v>0.95</v>
      </c>
      <c r="E8" s="35">
        <v>0.56000000000000005</v>
      </c>
      <c r="F8" s="35">
        <v>0.73</v>
      </c>
      <c r="G8" s="35">
        <v>0.44</v>
      </c>
      <c r="H8" s="35">
        <v>0.67</v>
      </c>
      <c r="L8">
        <f t="shared" ca="1" si="0"/>
        <v>0.53</v>
      </c>
    </row>
    <row r="9" spans="1:12">
      <c r="A9" s="29" t="s">
        <v>157</v>
      </c>
      <c r="B9">
        <v>2.5</v>
      </c>
      <c r="C9" s="35">
        <v>0.86</v>
      </c>
      <c r="D9" s="35">
        <v>0.93</v>
      </c>
      <c r="E9" s="35">
        <v>0.48</v>
      </c>
      <c r="F9" s="35">
        <v>0.66</v>
      </c>
      <c r="G9" s="35">
        <v>0.36</v>
      </c>
      <c r="H9" s="35">
        <v>0.59</v>
      </c>
      <c r="L9">
        <f t="shared" ca="1" si="0"/>
        <v>0.44000000000000006</v>
      </c>
    </row>
    <row r="10" spans="1:12">
      <c r="A10" s="29" t="s">
        <v>158</v>
      </c>
      <c r="B10">
        <v>3</v>
      </c>
      <c r="C10" s="35">
        <v>0.83</v>
      </c>
      <c r="D10" s="35">
        <v>0.91</v>
      </c>
      <c r="E10" s="35">
        <v>0.43</v>
      </c>
      <c r="F10" s="35">
        <v>0.61</v>
      </c>
      <c r="G10" s="35">
        <v>0.32</v>
      </c>
      <c r="H10" s="35">
        <v>0.54</v>
      </c>
      <c r="L10">
        <f t="shared" ca="1" si="0"/>
        <v>0.35999999999999993</v>
      </c>
    </row>
    <row r="11" spans="1:12">
      <c r="A11" s="29" t="s">
        <v>159</v>
      </c>
      <c r="C11" s="35">
        <v>0.81</v>
      </c>
      <c r="D11" s="35">
        <v>0.9</v>
      </c>
      <c r="E11" s="35">
        <v>0.39</v>
      </c>
      <c r="F11" s="35">
        <v>0.56999999999999995</v>
      </c>
      <c r="G11" s="35">
        <v>0.28000000000000003</v>
      </c>
      <c r="H11" s="35">
        <v>0.5</v>
      </c>
    </row>
    <row r="13" spans="1:12">
      <c r="J13" s="35">
        <f>'Analisis atico'!I14</f>
        <v>0.60088441928933944</v>
      </c>
    </row>
  </sheetData>
  <mergeCells count="3">
    <mergeCell ref="C1:D1"/>
    <mergeCell ref="E1:F1"/>
    <mergeCell ref="G1:H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F245F-B0EB-42E8-8F5A-44A9B1EA2E9E}">
  <dimension ref="A1:F7"/>
  <sheetViews>
    <sheetView workbookViewId="0">
      <selection activeCell="E6" sqref="E6"/>
    </sheetView>
  </sheetViews>
  <sheetFormatPr defaultRowHeight="14.4"/>
  <cols>
    <col min="1" max="1" width="11.44140625" bestFit="1" customWidth="1"/>
    <col min="2" max="2" width="17.77734375" bestFit="1" customWidth="1"/>
    <col min="4" max="4" width="17.44140625" bestFit="1" customWidth="1"/>
  </cols>
  <sheetData>
    <row r="1" spans="1:6" s="26" customFormat="1">
      <c r="A1" s="26" t="s">
        <v>110</v>
      </c>
      <c r="B1" s="26" t="s">
        <v>109</v>
      </c>
      <c r="C1" s="26" t="s">
        <v>87</v>
      </c>
      <c r="D1" s="26" t="s">
        <v>92</v>
      </c>
      <c r="E1" s="26" t="s">
        <v>89</v>
      </c>
      <c r="F1" s="26" t="s">
        <v>90</v>
      </c>
    </row>
    <row r="2" spans="1:6">
      <c r="A2" t="s">
        <v>91</v>
      </c>
      <c r="B2" t="s">
        <v>107</v>
      </c>
      <c r="C2" t="s">
        <v>88</v>
      </c>
      <c r="D2" t="s">
        <v>94</v>
      </c>
      <c r="E2">
        <v>0.04</v>
      </c>
      <c r="F2">
        <v>0.13</v>
      </c>
    </row>
    <row r="3" spans="1:6">
      <c r="A3" t="s">
        <v>88</v>
      </c>
      <c r="B3" t="s">
        <v>107</v>
      </c>
      <c r="C3" t="s">
        <v>91</v>
      </c>
      <c r="D3" t="s">
        <v>93</v>
      </c>
      <c r="E3">
        <v>0.04</v>
      </c>
      <c r="F3">
        <v>0.1</v>
      </c>
    </row>
    <row r="4" spans="1:6">
      <c r="A4" t="s">
        <v>88</v>
      </c>
      <c r="B4" t="s">
        <v>107</v>
      </c>
      <c r="C4" t="s">
        <v>91</v>
      </c>
      <c r="D4" t="s">
        <v>95</v>
      </c>
      <c r="E4">
        <v>0.04</v>
      </c>
      <c r="F4">
        <v>0.17</v>
      </c>
    </row>
    <row r="5" spans="1:6">
      <c r="A5" t="s">
        <v>91</v>
      </c>
      <c r="B5" t="s">
        <v>108</v>
      </c>
      <c r="C5" t="s">
        <v>88</v>
      </c>
      <c r="D5" t="s">
        <v>94</v>
      </c>
      <c r="E5">
        <v>0.13</v>
      </c>
      <c r="F5">
        <v>0.13</v>
      </c>
    </row>
    <row r="6" spans="1:6">
      <c r="A6" t="s">
        <v>88</v>
      </c>
      <c r="B6" t="s">
        <v>108</v>
      </c>
      <c r="C6" t="s">
        <v>91</v>
      </c>
      <c r="D6" t="s">
        <v>93</v>
      </c>
      <c r="E6">
        <v>0.1</v>
      </c>
      <c r="F6">
        <v>0.1</v>
      </c>
    </row>
    <row r="7" spans="1:6">
      <c r="A7" t="s">
        <v>88</v>
      </c>
      <c r="B7" t="s">
        <v>108</v>
      </c>
      <c r="C7" t="s">
        <v>91</v>
      </c>
      <c r="D7" t="s">
        <v>95</v>
      </c>
      <c r="E7">
        <v>0.17</v>
      </c>
      <c r="F7">
        <v>0.17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E1AF1-2151-4B80-AE6C-E6E8B956445A}">
  <dimension ref="A1:C5"/>
  <sheetViews>
    <sheetView workbookViewId="0">
      <selection activeCell="B5" sqref="B5"/>
    </sheetView>
  </sheetViews>
  <sheetFormatPr defaultRowHeight="14.4"/>
  <cols>
    <col min="1" max="1" width="8.88671875" style="24"/>
  </cols>
  <sheetData>
    <row r="1" spans="1:3">
      <c r="B1" s="50" t="s">
        <v>144</v>
      </c>
      <c r="C1" s="51"/>
    </row>
    <row r="2" spans="1:3">
      <c r="A2" s="36" t="s">
        <v>145</v>
      </c>
      <c r="B2" s="30" t="s">
        <v>88</v>
      </c>
      <c r="C2" s="31" t="s">
        <v>91</v>
      </c>
    </row>
    <row r="3" spans="1:3">
      <c r="A3" s="37">
        <v>0.01</v>
      </c>
      <c r="B3" s="32">
        <v>0.15</v>
      </c>
      <c r="C3" s="33">
        <v>0.15</v>
      </c>
    </row>
    <row r="4" spans="1:3">
      <c r="A4" s="38">
        <v>0.02</v>
      </c>
      <c r="B4" s="34">
        <v>0.16</v>
      </c>
      <c r="C4" s="35">
        <v>0.17</v>
      </c>
    </row>
    <row r="5" spans="1:3">
      <c r="A5" s="38">
        <v>0.05</v>
      </c>
      <c r="B5" s="34">
        <v>0.16</v>
      </c>
      <c r="C5" s="35">
        <v>0.18</v>
      </c>
    </row>
  </sheetData>
  <mergeCells count="1">
    <mergeCell ref="B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E9596139-1947-4DFF-A547-CCB27C7AB3B7}">
  <ds:schemaRefs/>
</ds:datastoreItem>
</file>

<file path=customXml/itemProps2.xml><?xml version="1.0" encoding="utf-8"?>
<ds:datastoreItem xmlns:ds="http://schemas.openxmlformats.org/officeDocument/2006/customXml" ds:itemID="{F14255F2-6DFC-4301-9D5D-37D19875A820}">
  <ds:schemaRefs/>
</ds:datastoreItem>
</file>

<file path=customXml/itemProps3.xml><?xml version="1.0" encoding="utf-8"?>
<ds:datastoreItem xmlns:ds="http://schemas.openxmlformats.org/officeDocument/2006/customXml" ds:itemID="{DBADD80E-0415-4513-A43E-0C18DDCBE2DB}">
  <ds:schemaRefs/>
</ds:datastoreItem>
</file>

<file path=customXml/itemProps4.xml><?xml version="1.0" encoding="utf-8"?>
<ds:datastoreItem xmlns:ds="http://schemas.openxmlformats.org/officeDocument/2006/customXml" ds:itemID="{E18A1A6A-8E7D-4BEE-8493-2CE9C0B6546E}">
  <ds:schemaRefs/>
</ds:datastoreItem>
</file>

<file path=customXml/itemProps5.xml><?xml version="1.0" encoding="utf-8"?>
<ds:datastoreItem xmlns:ds="http://schemas.openxmlformats.org/officeDocument/2006/customXml" ds:itemID="{0748AE68-786C-468B-8A48-592F21BCC128}">
  <ds:schemaRefs/>
</ds:datastoreItem>
</file>

<file path=docMetadata/LabelInfo.xml><?xml version="1.0" encoding="utf-8"?>
<clbl:labelList xmlns:clbl="http://schemas.microsoft.com/office/2020/mipLabelMetadata">
  <clbl:label id="{328bd378-2b42-4021-9842-827ab6e83f4f}" enabled="0" method="" siteId="{328bd378-2b42-4021-9842-827ab6e83f4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6</vt:i4>
      </vt:variant>
    </vt:vector>
  </HeadingPairs>
  <TitlesOfParts>
    <vt:vector size="22" baseType="lpstr">
      <vt:lpstr>Dimensiones</vt:lpstr>
      <vt:lpstr>Sheet1</vt:lpstr>
      <vt:lpstr>Huecos+Opacos</vt:lpstr>
      <vt:lpstr>Hsol;jul Pensinsula</vt:lpstr>
      <vt:lpstr>Vidrios</vt:lpstr>
      <vt:lpstr>Puentes termicos</vt:lpstr>
      <vt:lpstr>Elementos constructivos</vt:lpstr>
      <vt:lpstr>FOR INT AC-NH</vt:lpstr>
      <vt:lpstr>TAB INT</vt:lpstr>
      <vt:lpstr>MURO EXTERIOR</vt:lpstr>
      <vt:lpstr>CUB IN TEJA</vt:lpstr>
      <vt:lpstr>Analisis atico</vt:lpstr>
      <vt:lpstr>Suelo con camara de aire ventil</vt:lpstr>
      <vt:lpstr>Tabla 7 Coef b</vt:lpstr>
      <vt:lpstr>Resistencias superficiales</vt:lpstr>
      <vt:lpstr>R capas de aire sin ventilar </vt:lpstr>
      <vt:lpstr>A_h_nh</vt:lpstr>
      <vt:lpstr>A_nh_e</vt:lpstr>
      <vt:lpstr>grosor_muros</vt:lpstr>
      <vt:lpstr>knownX</vt:lpstr>
      <vt:lpstr>knownY</vt:lpstr>
      <vt:lpstr>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Tomás González Llarena</dc:creator>
  <cp:lastModifiedBy>Tomás González Llarena</cp:lastModifiedBy>
  <dcterms:created xsi:type="dcterms:W3CDTF">2025-11-11T12:43:18Z</dcterms:created>
  <dcterms:modified xsi:type="dcterms:W3CDTF">2025-11-13T07:14:41Z</dcterms:modified>
</cp:coreProperties>
</file>