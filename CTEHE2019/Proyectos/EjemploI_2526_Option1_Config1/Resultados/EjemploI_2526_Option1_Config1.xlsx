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ProyectosCTEyCEE\CTEHE2019\Proyectos\EjemploI_2526_Option1_Config1\Resultados\"/>
    </mc:Choice>
  </mc:AlternateContent>
  <xr:revisionPtr revIDLastSave="0" documentId="13_ncr:1_{6F6F9760-1932-4CC1-A979-05BDFD8840B6}" xr6:coauthVersionLast="47" xr6:coauthVersionMax="47" xr10:uidLastSave="{00000000-0000-0000-0000-000000000000}"/>
  <bookViews>
    <workbookView xWindow="7590" yWindow="40" windowWidth="21370" windowHeight="17240" activeTab="1" xr2:uid="{00000000-000D-0000-FFFF-FFFF00000000}"/>
  </bookViews>
  <sheets>
    <sheet name="Geometria" sheetId="5" r:id="rId1"/>
    <sheet name="Refri" sheetId="6" r:id="rId2"/>
    <sheet name="K_global" sheetId="1" r:id="rId3"/>
    <sheet name="q_sol;jul" sheetId="2" r:id="rId4"/>
    <sheet name="tabla" sheetId="4" r:id="rId5"/>
    <sheet name="Sheet1" sheetId="3" r:id="rId6"/>
  </sheets>
  <definedNames>
    <definedName name="ExternalData_1" localSheetId="4" hidden="1">tabla!$A$1:$R$10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 i="4" l="1"/>
  <c r="T13" i="4"/>
  <c r="L14" i="4"/>
  <c r="D13" i="4"/>
  <c r="E13" i="4"/>
  <c r="F13" i="4"/>
  <c r="S13" i="4" s="1"/>
  <c r="G13" i="4"/>
  <c r="H13" i="4"/>
  <c r="I13" i="4"/>
  <c r="J13" i="4"/>
  <c r="K13" i="4"/>
  <c r="L13" i="4"/>
  <c r="M13" i="4"/>
  <c r="N13" i="4"/>
  <c r="C13" i="4"/>
  <c r="S14" i="4"/>
  <c r="P13" i="4"/>
  <c r="Q13" i="4"/>
  <c r="R13" i="4"/>
  <c r="Q2" i="4" l="1"/>
  <c r="Q3" i="4"/>
  <c r="Q4" i="4"/>
  <c r="Q5" i="4"/>
  <c r="Q6" i="4"/>
  <c r="Q7" i="4"/>
  <c r="Q8" i="4"/>
  <c r="Q9" i="4"/>
  <c r="Q10" i="4"/>
  <c r="O2" i="4"/>
  <c r="O3" i="4"/>
  <c r="O4" i="4"/>
  <c r="O13" i="4" s="1"/>
  <c r="O5" i="4"/>
  <c r="O6" i="4"/>
  <c r="O7" i="4"/>
  <c r="O8" i="4"/>
  <c r="O9" i="4"/>
  <c r="O10" i="4"/>
  <c r="Q4" i="3"/>
  <c r="X15" i="2"/>
  <c r="X9" i="2"/>
  <c r="AB4" i="2" l="1"/>
  <c r="AB5" i="2"/>
  <c r="AC5" i="2"/>
  <c r="AB6" i="2"/>
  <c r="AC6" i="2"/>
  <c r="AB7" i="2"/>
  <c r="AC7" i="2"/>
  <c r="AB8" i="2"/>
  <c r="AC8" i="2"/>
  <c r="AC4" i="2"/>
  <c r="AA4" i="2"/>
  <c r="AA5" i="2"/>
  <c r="AA6" i="2"/>
  <c r="AA7" i="2"/>
  <c r="AA8" i="2"/>
  <c r="Z5" i="2"/>
  <c r="Z6" i="2"/>
  <c r="Z7" i="2"/>
  <c r="Z8" i="2"/>
  <c r="Z4" i="2"/>
  <c r="Y5" i="2"/>
  <c r="Y6" i="2"/>
  <c r="Y7" i="2"/>
  <c r="Y8" i="2"/>
  <c r="Y4" i="2"/>
  <c r="M9" i="2"/>
  <c r="M5" i="2"/>
  <c r="M6" i="2"/>
  <c r="E53" i="1"/>
  <c r="D53" i="1"/>
  <c r="F49" i="1"/>
  <c r="G49" i="1"/>
  <c r="H4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99FE5C-395A-4D26-A651-64BF4EF0F769}" keepAlive="1" name="Query - tabla" description="Connection to the 'tabla' query in the workbook." type="5" refreshedVersion="8" background="1" saveData="1">
    <dbPr connection="Provider=Microsoft.Mashup.OleDb.1;Data Source=$Workbook$;Location=tabla;Extended Properties=&quot;&quot;" command="SELECT * FROM [tabla]"/>
  </connection>
</connections>
</file>

<file path=xl/sharedStrings.xml><?xml version="1.0" encoding="utf-8"?>
<sst xmlns="http://schemas.openxmlformats.org/spreadsheetml/2006/main" count="592" uniqueCount="268">
  <si>
    <t>Código  del elemento</t>
  </si>
  <si>
    <t>Tipo  de Contacto</t>
  </si>
  <si>
    <t>Descripción</t>
  </si>
  <si>
    <r>
      <t xml:space="preserve">¿ </t>
    </r>
    <r>
      <rPr>
        <b/>
        <sz val="7"/>
        <color indexed="9"/>
        <rFont val="Symbol"/>
        <family val="1"/>
        <charset val="204"/>
      </rPr>
      <t></t>
    </r>
    <r>
      <rPr>
        <sz val="7"/>
        <color indexed="9"/>
        <rFont val="Times New Roman"/>
        <family val="1"/>
        <charset val="204"/>
      </rPr>
      <t xml:space="preserve"> </t>
    </r>
    <r>
      <rPr>
        <sz val="7"/>
        <color indexed="9"/>
        <rFont val="Swis721 Lt BT"/>
        <family val="1"/>
        <charset val="204"/>
      </rPr>
      <t xml:space="preserve">a ET?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 xml:space="preserve">ET=1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ET=0</t>
    </r>
  </si>
  <si>
    <t>Contacto EXTERIOR  o
TERRENO
( btr,x)
SI=1 N0=0</t>
  </si>
  <si>
    <t>Sup. Parte OPACA ( m 2)</t>
  </si>
  <si>
    <t>Sup.
HUECO  ( m 2)</t>
  </si>
  <si>
    <t>Sup. E.T. en contacto
EXTERIOR  o TERRENO (m2)</t>
  </si>
  <si>
    <t>U
W/ m2K</t>
  </si>
  <si>
    <r>
      <t xml:space="preserve">U </t>
    </r>
    <r>
      <rPr>
        <sz val="6"/>
        <color indexed="9"/>
        <rFont val="Swis721 Lt BT"/>
        <family val="1"/>
        <charset val="204"/>
      </rPr>
      <t xml:space="preserve">x  Área
</t>
    </r>
    <r>
      <rPr>
        <sz val="7"/>
        <color indexed="9"/>
        <rFont val="Swis721 Lt BT"/>
        <family val="1"/>
        <charset val="204"/>
      </rPr>
      <t>W/ K</t>
    </r>
  </si>
  <si>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</si>
  <si>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</si>
  <si>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</si>
  <si>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</si>
  <si>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</si>
  <si>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</si>
  <si>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</si>
  <si>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</si>
  <si>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</si>
  <si>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</si>
  <si>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</si>
  <si>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</si>
  <si>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</si>
  <si>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</si>
  <si>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</si>
  <si>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</si>
  <si>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</si>
  <si>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</si>
  <si>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</si>
  <si>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</si>
  <si>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</si>
  <si>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</si>
  <si>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</si>
  <si>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</si>
  <si>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</si>
  <si>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</si>
  <si>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</si>
  <si>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</si>
  <si>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</si>
  <si>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</si>
  <si>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</si>
  <si>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</si>
  <si>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Longitud L(m)</t>
  </si>
  <si>
    <r>
      <t xml:space="preserve">Ψ  </t>
    </r>
    <r>
      <rPr>
        <sz val="7"/>
        <color indexed="9"/>
        <rFont val="Swis721 Lt BT"/>
        <family val="1"/>
        <charset val="204"/>
      </rPr>
      <t>x  L W/ 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</si>
  <si>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</si>
  <si>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</si>
  <si>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</si>
  <si>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</si>
  <si>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</si>
  <si>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</si>
  <si>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</si>
  <si>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</si>
  <si>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</si>
  <si>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</si>
  <si>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</si>
  <si>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</si>
  <si>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99.40             28.60             128.00</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</si>
  <si>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</si>
  <si>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</si>
  <si>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</si>
  <si>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</si>
  <si>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</si>
  <si>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</si>
  <si>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</si>
  <si>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</si>
  <si>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</si>
  <si>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</si>
  <si>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</si>
  <si>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</si>
  <si>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Psi wavg</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</si>
  <si>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</si>
  <si>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</si>
  <si>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</si>
  <si>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</si>
  <si>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</si>
  <si>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</si>
  <si>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</si>
  <si>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</si>
  <si>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</si>
  <si>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</si>
  <si>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</si>
  <si>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</si>
  <si>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</si>
  <si>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</si>
  <si>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</si>
  <si>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</si>
  <si>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</si>
  <si>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</si>
  <si>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</si>
  <si>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</si>
  <si>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</si>
  <si>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</si>
  <si>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</si>
  <si>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</si>
  <si>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</si>
  <si>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</si>
  <si>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</si>
  <si>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</si>
  <si>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</si>
  <si>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</si>
  <si>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</si>
  <si>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</si>
  <si>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</si>
  <si>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</si>
  <si>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</si>
  <si>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</si>
  <si>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</si>
  <si>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</si>
  <si>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</si>
  <si>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</si>
  <si>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</si>
  <si>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</si>
  <si>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</si>
  <si>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</si>
  <si>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</si>
  <si>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</si>
  <si>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</si>
  <si>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</si>
  <si>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</si>
  <si>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</si>
  <si>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</si>
  <si>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</si>
  <si>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</si>
  <si>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</si>
  <si>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</si>
  <si>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</si>
  <si>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</si>
  <si>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</si>
  <si>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</si>
  <si>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</si>
  <si>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</si>
  <si>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</si>
  <si>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</si>
  <si>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</si>
  <si>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</si>
  <si>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</si>
  <si>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</si>
  <si>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</si>
  <si>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</si>
  <si>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</si>
  <si>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</si>
  <si>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</si>
  <si>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</si>
  <si>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</si>
  <si>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</si>
  <si>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</si>
  <si>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</si>
  <si>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</si>
  <si>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</si>
  <si>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</si>
  <si>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</si>
  <si>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</si>
  <si>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</si>
  <si>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</si>
  <si>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</si>
  <si>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</si>
  <si>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</si>
  <si>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</si>
  <si>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</si>
  <si>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</si>
  <si>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</si>
  <si>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</si>
  <si>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</si>
  <si>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</si>
  <si>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</si>
  <si>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</si>
  <si>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</si>
  <si>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</si>
  <si>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</si>
  <si>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</si>
  <si>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</si>
  <si>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</si>
  <si>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</si>
  <si>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</si>
  <si>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</si>
  <si>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</si>
  <si>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</si>
  <si>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</si>
  <si>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</si>
  <si>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</si>
  <si>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</si>
  <si>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</si>
  <si>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</si>
  <si>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</si>
  <si>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</si>
  <si>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</si>
  <si>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</si>
  <si>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</si>
  <si>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</si>
  <si>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</si>
  <si>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</si>
  <si>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</si>
  <si>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</si>
  <si>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</si>
  <si>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</si>
  <si>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</si>
  <si>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</si>
  <si>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</si>
  <si>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</si>
  <si>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</si>
  <si>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</si>
  <si>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</si>
  <si>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</si>
  <si>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</si>
  <si>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</si>
  <si>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</si>
  <si>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</si>
  <si>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</si>
  <si>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</si>
  <si>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</si>
  <si>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</si>
  <si>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</si>
  <si>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</si>
  <si>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</si>
  <si>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</si>
  <si>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</si>
  <si>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l&gt;300</t>
  </si>
  <si>
    <t>fsh;with;on
(JUN-SET)</t>
  </si>
  <si>
    <t>fsh;with;off
(ENE-MAY
OCT-DIC)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</si>
  <si>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</si>
  <si>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</si>
  <si>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</si>
  <si>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</si>
  <si>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</si>
  <si>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</si>
  <si>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</si>
  <si>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</si>
  <si>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</si>
  <si>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</si>
  <si>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</si>
  <si>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</si>
  <si>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</si>
  <si>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69,37</t>
  </si>
  <si>
    <t>73,66</t>
  </si>
  <si>
    <t>81,98</t>
  </si>
  <si>
    <t>0,085</t>
  </si>
  <si>
    <t>6,26</t>
  </si>
  <si>
    <t>75,72</t>
  </si>
  <si>
    <t>GAS NATURAL (*)</t>
  </si>
  <si>
    <t>0,90</t>
  </si>
  <si>
    <t>1,07</t>
  </si>
  <si>
    <t>1,19</t>
  </si>
  <si>
    <t>0,004</t>
  </si>
  <si>
    <t>REFRIGERACIÓN</t>
  </si>
  <si>
    <t>ELECTRICIDAD (*)</t>
  </si>
  <si>
    <t>12,6</t>
  </si>
  <si>
    <t>5,00</t>
  </si>
  <si>
    <t>11,84</t>
  </si>
  <si>
    <t>9,77</t>
  </si>
  <si>
    <t>2,07</t>
  </si>
  <si>
    <t>ACS</t>
  </si>
  <si>
    <t>17,76</t>
  </si>
  <si>
    <t>19,10</t>
  </si>
  <si>
    <t>21,25</t>
  </si>
  <si>
    <t>1,62</t>
  </si>
  <si>
    <t>19,63</t>
  </si>
  <si>
    <t>VENTILACIÓN</t>
  </si>
  <si>
    <t>ELECTRICIDAD</t>
  </si>
  <si>
    <t>0,37</t>
  </si>
  <si>
    <t>0,88</t>
  </si>
  <si>
    <t>0,72</t>
  </si>
  <si>
    <t>0,15</t>
  </si>
  <si>
    <t>TOTALES</t>
  </si>
  <si>
    <t>99,02</t>
  </si>
  <si>
    <t>117,03</t>
  </si>
  <si>
    <t>19,44</t>
  </si>
  <si>
    <t>97,58</t>
  </si>
  <si>
    <t>(*) Aportación de los sistemas de sustitución en calefacción cubriendo las horas fuera de consigna mediante caldera de gas natural y en refrigeración mediante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</si>
</sst>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72" formatCode="0.000"/>
  </numFmts>
  <fonts count="38">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b/>
      <sz val="7"/>
      <color indexed="9"/>
      <name val="Symbol"/>
      <family val="1"/>
      <charset val="204"/>
    </font>
    <font>
      <sz val="7"/>
      <color indexed="9"/>
      <name val="Times New Roman"/>
      <family val="1"/>
      <charset val="204"/>
    </font>
    <font>
      <sz val="7"/>
      <color indexed="9"/>
      <name val="Swis721 Lt BT"/>
      <family val="1"/>
      <charset val="204"/>
    </font>
    <font>
      <b/>
      <sz val="8"/>
      <color indexed="9"/>
      <name val="Symbol"/>
      <family val="1"/>
      <charset val="204"/>
    </font>
    <font>
      <sz val="8"/>
      <color indexed="9"/>
      <name val="Times New Roman"/>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b/>
      <sz val="7"/>
      <color indexed="9"/>
      <name val="Calibri"/>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s>
  <fills count="18">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DA9593"/>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s>
  <borders count="3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FFFFFF"/>
      </left>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s>
  <cellStyleXfs count="4">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cellStyleXfs>
  <cellXfs count="122">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11" fillId="5" borderId="4" xfId="0" applyFont="1" applyFill="1" applyBorder="1" applyAlignment="1">
      <alignment horizontal="left" vertical="top" wrapText="1"/>
    </xf>
    <xf numFmtId="0" fontId="8"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7"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vertical="center" wrapText="1"/>
    </xf>
    <xf numFmtId="0" fontId="17" fillId="8" borderId="5" xfId="0" applyFont="1" applyFill="1" applyBorder="1" applyAlignment="1">
      <alignment horizontal="center" vertical="top" wrapTex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7" fillId="0" borderId="5" xfId="0" applyFont="1" applyBorder="1" applyAlignment="1">
      <alignment horizontal="center" vertical="top" wrapText="1"/>
    </xf>
    <xf numFmtId="1" fontId="7" fillId="0" borderId="5" xfId="0" applyNumberFormat="1" applyFont="1" applyBorder="1" applyAlignment="1">
      <alignment horizontal="center" vertical="top" shrinkToFit="1"/>
    </xf>
    <xf numFmtId="0" fontId="6" fillId="6" borderId="0" xfId="0" applyFont="1" applyFill="1" applyAlignment="1">
      <alignment horizontal="left" wrapText="1"/>
    </xf>
    <xf numFmtId="0" fontId="17" fillId="9" borderId="0" xfId="0" applyFont="1" applyFill="1" applyAlignment="1">
      <alignment horizontal="center" vertical="top" wrapText="1"/>
    </xf>
    <xf numFmtId="0" fontId="6" fillId="9" borderId="0" xfId="0" applyFont="1" applyFill="1" applyAlignment="1">
      <alignment horizontal="left" wrapText="1"/>
    </xf>
    <xf numFmtId="0" fontId="19" fillId="10" borderId="0" xfId="0" applyFont="1" applyFill="1" applyAlignment="1">
      <alignment horizontal="center" vertical="top" wrapText="1"/>
    </xf>
    <xf numFmtId="0" fontId="18" fillId="10" borderId="0" xfId="0" applyFont="1" applyFill="1" applyAlignment="1">
      <alignment horizontal="center" vertical="top" wrapText="1"/>
    </xf>
    <xf numFmtId="0" fontId="20" fillId="5" borderId="8" xfId="0" applyFont="1" applyFill="1" applyBorder="1" applyAlignment="1">
      <alignment horizontal="center" vertical="top" wrapText="1"/>
    </xf>
    <xf numFmtId="0" fontId="8" fillId="5" borderId="8" xfId="0" applyFont="1" applyFill="1" applyBorder="1" applyAlignment="1">
      <alignment horizontal="left" vertical="top" wrapText="1"/>
    </xf>
    <xf numFmtId="0" fontId="21" fillId="5" borderId="9" xfId="0" applyFont="1" applyFill="1" applyBorder="1" applyAlignment="1">
      <alignment horizontal="left" vertical="top" wrapText="1" indent="1"/>
    </xf>
    <xf numFmtId="0" fontId="6" fillId="0" borderId="5" xfId="0" applyFont="1" applyBorder="1" applyAlignment="1">
      <alignment horizontal="left" wrapText="1"/>
    </xf>
    <xf numFmtId="0" fontId="6" fillId="0" borderId="0" xfId="0" applyFont="1" applyAlignment="1">
      <alignment horizontal="left" vertical="center" wrapText="1"/>
    </xf>
    <xf numFmtId="0" fontId="19" fillId="12"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15" fillId="5" borderId="18" xfId="0" applyFont="1" applyFill="1" applyBorder="1" applyAlignment="1">
      <alignment horizontal="center" vertical="top" wrapText="1"/>
    </xf>
    <xf numFmtId="0" fontId="11" fillId="5" borderId="19" xfId="0" applyFont="1" applyFill="1" applyBorder="1" applyAlignment="1">
      <alignment horizontal="left" vertical="top" wrapText="1" indent="2"/>
    </xf>
    <xf numFmtId="0" fontId="23" fillId="0" borderId="20" xfId="0" applyFont="1" applyBorder="1" applyAlignment="1">
      <alignment horizontal="center" vertical="top" wrapText="1"/>
    </xf>
    <xf numFmtId="0" fontId="23" fillId="13" borderId="21" xfId="0" applyFont="1" applyFill="1" applyBorder="1" applyAlignment="1">
      <alignment horizontal="center" vertical="top" wrapText="1"/>
    </xf>
    <xf numFmtId="0" fontId="24" fillId="14" borderId="22" xfId="0" applyFont="1" applyFill="1" applyBorder="1" applyAlignment="1">
      <alignment horizontal="left" vertical="top" wrapText="1" indent="1"/>
    </xf>
    <xf numFmtId="0" fontId="19" fillId="10" borderId="0" xfId="0" applyFont="1" applyFill="1" applyAlignment="1">
      <alignment vertical="top" wrapText="1"/>
    </xf>
    <xf numFmtId="0" fontId="11"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11" fillId="5" borderId="23" xfId="0" applyFont="1" applyFill="1" applyBorder="1" applyAlignment="1">
      <alignment horizontal="left" vertical="top" wrapText="1"/>
    </xf>
    <xf numFmtId="0" fontId="27" fillId="9" borderId="0" xfId="0" applyFont="1" applyFill="1" applyAlignment="1">
      <alignment horizontal="center" vertical="top" wrapText="1"/>
    </xf>
    <xf numFmtId="0" fontId="17" fillId="15" borderId="5" xfId="0" applyFont="1" applyFill="1" applyBorder="1" applyAlignment="1">
      <alignment horizontal="center" vertical="top" wrapText="1"/>
    </xf>
    <xf numFmtId="0" fontId="27" fillId="15" borderId="5" xfId="0" applyFont="1" applyFill="1" applyBorder="1" applyAlignment="1">
      <alignment horizontal="center" vertical="top" wrapText="1"/>
    </xf>
    <xf numFmtId="0" fontId="29" fillId="10" borderId="0" xfId="0" applyFont="1" applyFill="1" applyAlignment="1">
      <alignment horizontal="center" vertical="top" wrapText="1"/>
    </xf>
    <xf numFmtId="0" fontId="2" fillId="2" borderId="0" xfId="2" applyAlignment="1">
      <alignment horizontal="left" wrapText="1"/>
    </xf>
    <xf numFmtId="0" fontId="2" fillId="2" borderId="0" xfId="2"/>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17" fillId="0" borderId="0" xfId="0" applyFont="1" applyAlignment="1">
      <alignment horizontal="left" vertical="top" wrapText="1"/>
    </xf>
    <xf numFmtId="0" fontId="16" fillId="0" borderId="12" xfId="0" applyFont="1" applyBorder="1" applyAlignment="1">
      <alignment horizontal="left" vertical="top" wrapText="1"/>
    </xf>
    <xf numFmtId="0" fontId="16" fillId="0" borderId="14" xfId="0" applyFont="1" applyBorder="1" applyAlignment="1">
      <alignment horizontal="left" vertical="top" wrapText="1"/>
    </xf>
    <xf numFmtId="0" fontId="16" fillId="0" borderId="13" xfId="0" applyFont="1" applyBorder="1" applyAlignment="1">
      <alignment horizontal="left" vertical="top" wrapText="1"/>
    </xf>
    <xf numFmtId="0" fontId="17" fillId="0" borderId="10" xfId="0" applyFont="1" applyBorder="1" applyAlignment="1">
      <alignment horizontal="left" vertical="top" wrapText="1"/>
    </xf>
    <xf numFmtId="0" fontId="17" fillId="0" borderId="11" xfId="0" applyFont="1" applyBorder="1" applyAlignment="1">
      <alignment horizontal="left" vertical="top" wrapText="1"/>
    </xf>
    <xf numFmtId="0" fontId="17" fillId="0" borderId="15" xfId="0" applyFont="1" applyBorder="1" applyAlignment="1">
      <alignment horizontal="left" vertical="top" wrapText="1"/>
    </xf>
    <xf numFmtId="0" fontId="19" fillId="12" borderId="16" xfId="0" applyFont="1" applyFill="1" applyBorder="1" applyAlignment="1">
      <alignment horizontal="left" vertical="top" wrapText="1"/>
    </xf>
    <xf numFmtId="0" fontId="17" fillId="7" borderId="12" xfId="0" applyFont="1" applyFill="1" applyBorder="1" applyAlignment="1">
      <alignment horizontal="left" vertical="top" wrapText="1"/>
    </xf>
    <xf numFmtId="0" fontId="17" fillId="7" borderId="13" xfId="0" applyFont="1" applyFill="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8" fillId="9" borderId="0" xfId="0" applyFont="1" applyFill="1" applyAlignment="1">
      <alignment horizontal="left" vertical="top" wrapText="1"/>
    </xf>
    <xf numFmtId="0" fontId="16" fillId="0" borderId="0" xfId="0" applyFont="1" applyAlignment="1">
      <alignment horizontal="left" wrapText="1"/>
    </xf>
    <xf numFmtId="0" fontId="17" fillId="6" borderId="0" xfId="0" applyFont="1" applyFill="1" applyAlignment="1">
      <alignment horizontal="left" vertical="top" wrapText="1"/>
    </xf>
    <xf numFmtId="0" fontId="6" fillId="0" borderId="0" xfId="0" applyFont="1" applyAlignment="1">
      <alignment horizontal="left" wrapText="1"/>
    </xf>
    <xf numFmtId="0" fontId="17" fillId="11"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6" fillId="0" borderId="0" xfId="0" applyFont="1" applyAlignment="1">
      <alignment horizontal="left" vertical="top" wrapText="1"/>
    </xf>
    <xf numFmtId="0" fontId="17" fillId="0" borderId="0" xfId="0" applyFont="1" applyAlignment="1">
      <alignment horizontal="left" vertical="center" wrapText="1"/>
    </xf>
    <xf numFmtId="0" fontId="17" fillId="9" borderId="0" xfId="0" applyFont="1" applyFill="1" applyAlignment="1">
      <alignment horizontal="left" vertical="top" wrapText="1" indent="1"/>
    </xf>
    <xf numFmtId="0" fontId="28" fillId="9" borderId="0" xfId="0" applyFont="1" applyFill="1" applyAlignment="1">
      <alignment horizontal="left" vertical="top" wrapText="1"/>
    </xf>
    <xf numFmtId="0" fontId="26" fillId="0" borderId="0" xfId="0" applyFont="1" applyAlignment="1">
      <alignment horizontal="left" vertical="top" wrapText="1"/>
    </xf>
    <xf numFmtId="0" fontId="27" fillId="6" borderId="0" xfId="0" applyFont="1" applyFill="1" applyAlignment="1">
      <alignment horizontal="left" vertical="top" wrapText="1"/>
    </xf>
    <xf numFmtId="0" fontId="27" fillId="0" borderId="0" xfId="0" applyFont="1" applyAlignment="1">
      <alignment horizontal="left" vertical="center" wrapText="1"/>
    </xf>
    <xf numFmtId="0" fontId="27" fillId="0" borderId="0" xfId="0" applyFont="1" applyAlignment="1">
      <alignment horizontal="left" vertical="top" wrapText="1"/>
    </xf>
    <xf numFmtId="0" fontId="6" fillId="0" borderId="0" xfId="0" applyFont="1" applyAlignment="1">
      <alignment horizontal="left"/>
    </xf>
    <xf numFmtId="0" fontId="8" fillId="5" borderId="4" xfId="0" applyFont="1" applyFill="1" applyBorder="1" applyAlignment="1">
      <alignment horizontal="left" vertical="top"/>
    </xf>
    <xf numFmtId="0" fontId="27" fillId="15"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6" borderId="0" xfId="0" applyFill="1"/>
    <xf numFmtId="0" fontId="0" fillId="0" borderId="0" xfId="0" applyAlignment="1">
      <alignment horizontal="right"/>
    </xf>
    <xf numFmtId="0" fontId="0" fillId="0" borderId="0" xfId="0" applyNumberFormat="1"/>
    <xf numFmtId="43" fontId="0" fillId="0" borderId="0" xfId="1" applyFont="1"/>
    <xf numFmtId="2" fontId="0" fillId="0" borderId="0" xfId="0" applyNumberFormat="1" applyAlignment="1">
      <alignment horizontal="right"/>
    </xf>
    <xf numFmtId="2" fontId="0" fillId="16" borderId="0" xfId="0" applyNumberFormat="1" applyFill="1" applyAlignment="1">
      <alignment horizontal="right"/>
    </xf>
    <xf numFmtId="2" fontId="0" fillId="0" borderId="0" xfId="0" applyNumberFormat="1"/>
    <xf numFmtId="0" fontId="31" fillId="0" borderId="0" xfId="0" applyFont="1"/>
    <xf numFmtId="0" fontId="31" fillId="16" borderId="0" xfId="0" applyFont="1" applyFill="1"/>
    <xf numFmtId="0" fontId="0" fillId="13" borderId="0" xfId="0" applyNumberFormat="1" applyFill="1"/>
    <xf numFmtId="0" fontId="0" fillId="13" borderId="0" xfId="0" applyFill="1"/>
    <xf numFmtId="0" fontId="31" fillId="0" borderId="0" xfId="0" applyFont="1" applyAlignment="1">
      <alignment wrapText="1"/>
    </xf>
    <xf numFmtId="43" fontId="31" fillId="0" borderId="0" xfId="1" applyFont="1" applyAlignment="1">
      <alignment wrapText="1"/>
    </xf>
    <xf numFmtId="43" fontId="4" fillId="4" borderId="2" xfId="3" applyNumberFormat="1"/>
    <xf numFmtId="172" fontId="4" fillId="4" borderId="2" xfId="3" applyNumberFormat="1"/>
    <xf numFmtId="43" fontId="0" fillId="17" borderId="24" xfId="1" applyNumberFormat="1" applyFont="1" applyFill="1" applyBorder="1"/>
    <xf numFmtId="43" fontId="0" fillId="17" borderId="25" xfId="1" applyNumberFormat="1" applyFont="1" applyFill="1" applyBorder="1"/>
    <xf numFmtId="43" fontId="0" fillId="0" borderId="0" xfId="1" applyNumberFormat="1" applyFont="1"/>
    <xf numFmtId="0" fontId="32" fillId="5" borderId="26" xfId="0" applyFont="1" applyFill="1" applyBorder="1" applyAlignment="1">
      <alignment horizontal="center" vertical="top" wrapText="1"/>
    </xf>
    <xf numFmtId="0" fontId="33" fillId="5" borderId="27" xfId="0" applyFont="1" applyFill="1" applyBorder="1" applyAlignment="1">
      <alignment horizontal="center" vertical="top" wrapText="1"/>
    </xf>
    <xf numFmtId="0" fontId="34" fillId="5" borderId="27" xfId="0" applyFont="1" applyFill="1" applyBorder="1" applyAlignment="1">
      <alignment horizontal="center" vertical="top" wrapText="1"/>
    </xf>
    <xf numFmtId="0" fontId="34" fillId="5" borderId="27" xfId="0" applyFont="1" applyFill="1" applyBorder="1" applyAlignment="1">
      <alignment horizontal="left" vertical="top" wrapText="1"/>
    </xf>
    <xf numFmtId="0" fontId="32" fillId="5" borderId="27" xfId="0" applyFont="1" applyFill="1" applyBorder="1" applyAlignment="1">
      <alignment horizontal="center" vertical="top" wrapText="1"/>
    </xf>
    <xf numFmtId="0" fontId="35" fillId="9" borderId="20" xfId="0" applyFont="1" applyFill="1" applyBorder="1" applyAlignment="1">
      <alignment horizontal="left" vertical="top" wrapText="1" indent="1"/>
    </xf>
    <xf numFmtId="0" fontId="35" fillId="9" borderId="28" xfId="0" applyFont="1" applyFill="1" applyBorder="1" applyAlignment="1">
      <alignment horizontal="left" vertical="top" wrapText="1" indent="1"/>
    </xf>
    <xf numFmtId="0" fontId="36" fillId="6" borderId="18" xfId="0" applyFont="1" applyFill="1" applyBorder="1" applyAlignment="1">
      <alignment horizontal="center" vertical="top" wrapText="1"/>
    </xf>
    <xf numFmtId="0" fontId="37" fillId="6" borderId="21" xfId="0" applyFont="1" applyFill="1" applyBorder="1" applyAlignment="1">
      <alignment horizontal="left" vertical="top" wrapText="1" indent="2"/>
    </xf>
    <xf numFmtId="0" fontId="37" fillId="6" borderId="29" xfId="0" applyFont="1" applyFill="1" applyBorder="1" applyAlignment="1">
      <alignment horizontal="left" vertical="top" wrapText="1" indent="2"/>
    </xf>
    <xf numFmtId="0" fontId="37" fillId="6" borderId="18" xfId="0" applyFont="1" applyFill="1" applyBorder="1" applyAlignment="1">
      <alignment horizontal="center" vertical="top" wrapText="1"/>
    </xf>
    <xf numFmtId="3" fontId="7" fillId="6" borderId="18" xfId="0" applyNumberFormat="1" applyFont="1" applyFill="1" applyBorder="1" applyAlignment="1">
      <alignment horizontal="center" vertical="top" shrinkToFit="1"/>
    </xf>
    <xf numFmtId="0" fontId="35" fillId="9" borderId="0" xfId="0" applyFont="1" applyFill="1" applyAlignment="1">
      <alignment horizontal="center" vertical="top" wrapText="1"/>
    </xf>
    <xf numFmtId="0" fontId="36" fillId="6" borderId="26" xfId="0" applyFont="1" applyFill="1" applyBorder="1" applyAlignment="1">
      <alignment horizontal="center" vertical="top" wrapText="1"/>
    </xf>
    <xf numFmtId="0" fontId="37" fillId="6" borderId="27" xfId="0" applyFont="1" applyFill="1" applyBorder="1" applyAlignment="1">
      <alignment horizontal="center" vertical="top" wrapText="1"/>
    </xf>
    <xf numFmtId="3" fontId="7" fillId="6" borderId="27" xfId="0" applyNumberFormat="1" applyFont="1" applyFill="1" applyBorder="1" applyAlignment="1">
      <alignment horizontal="center" vertical="top" shrinkToFit="1"/>
    </xf>
    <xf numFmtId="0" fontId="19" fillId="10" borderId="26" xfId="0" applyFont="1" applyFill="1" applyBorder="1" applyAlignment="1">
      <alignment horizontal="center" vertical="top" wrapText="1"/>
    </xf>
    <xf numFmtId="0" fontId="6" fillId="10" borderId="27" xfId="0" applyFont="1" applyFill="1" applyBorder="1" applyAlignment="1">
      <alignment horizontal="left" wrapText="1"/>
    </xf>
    <xf numFmtId="0" fontId="19" fillId="10" borderId="27" xfId="0" applyFont="1" applyFill="1" applyBorder="1" applyAlignment="1">
      <alignment horizontal="center" vertical="top" wrapText="1"/>
    </xf>
    <xf numFmtId="0" fontId="19" fillId="10" borderId="23" xfId="0" applyFont="1" applyFill="1" applyBorder="1" applyAlignment="1">
      <alignment horizontal="center" vertical="top" wrapText="1"/>
    </xf>
    <xf numFmtId="0" fontId="37" fillId="0" borderId="0" xfId="0" applyFont="1" applyAlignment="1">
      <alignment horizontal="left" vertical="top" wrapText="1"/>
    </xf>
  </cellXfs>
  <cellStyles count="4">
    <cellStyle name="Bad" xfId="2" builtinId="27"/>
    <cellStyle name="Check Cell" xfId="3" builtinId="23"/>
    <cellStyle name="Comma" xfId="1" builtinId="3"/>
    <cellStyle name="Normal" xfId="0" builtinId="0"/>
  </cellStyles>
  <dxfs count="10">
    <dxf>
      <numFmt numFmtId="172" formatCode="0.000"/>
    </dxf>
    <dxf>
      <border outline="0">
        <left style="double">
          <color rgb="FF3F3F3F"/>
        </left>
      </border>
    </dxf>
    <dxf>
      <border outline="0">
        <right style="double">
          <color rgb="FF3F3F3F"/>
        </right>
      </border>
    </dxf>
    <dxf>
      <numFmt numFmtId="0" formatCode="General"/>
    </dxf>
    <dxf>
      <font>
        <strike val="0"/>
        <outline val="0"/>
        <shadow val="0"/>
        <u val="none"/>
        <vertAlign val="baseline"/>
        <sz val="11"/>
        <color auto="1"/>
        <name val="Calibri"/>
        <family val="2"/>
        <scheme val="minor"/>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emf"/><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121609</xdr:rowOff>
    </xdr:from>
    <xdr:to>
      <xdr:col>10</xdr:col>
      <xdr:colOff>12700</xdr:colOff>
      <xdr:row>24</xdr:row>
      <xdr:rowOff>82551</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56859"/>
          <a:ext cx="5568949" cy="21707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31</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12</xdr:col>
      <xdr:colOff>0</xdr:colOff>
      <xdr:row>18</xdr:row>
      <xdr:rowOff>0</xdr:rowOff>
    </xdr:from>
    <xdr:to>
      <xdr:col>27</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12</xdr:col>
      <xdr:colOff>0</xdr:colOff>
      <xdr:row>36</xdr:row>
      <xdr:rowOff>0</xdr:rowOff>
    </xdr:from>
    <xdr:to>
      <xdr:col>19</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12</xdr:col>
      <xdr:colOff>45720</xdr:colOff>
      <xdr:row>63</xdr:row>
      <xdr:rowOff>22860</xdr:rowOff>
    </xdr:from>
    <xdr:to>
      <xdr:col>24</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7620</xdr:colOff>
      <xdr:row>24</xdr:row>
      <xdr:rowOff>0</xdr:rowOff>
    </xdr:from>
    <xdr:to>
      <xdr:col>22</xdr:col>
      <xdr:colOff>448642</xdr:colOff>
      <xdr:row>26</xdr:row>
      <xdr:rowOff>53398</xdr:rowOff>
    </xdr:to>
    <xdr:pic>
      <xdr:nvPicPr>
        <xdr:cNvPr id="2" name="Picture 1">
          <a:extLst>
            <a:ext uri="{FF2B5EF4-FFF2-40B4-BE49-F238E27FC236}">
              <a16:creationId xmlns:a16="http://schemas.microsoft.com/office/drawing/2014/main" id="{8C7DC55E-1CF5-5B01-22C1-C42098709454}"/>
            </a:ext>
          </a:extLst>
        </xdr:cNvPr>
        <xdr:cNvPicPr>
          <a:picLocks noChangeAspect="1"/>
        </xdr:cNvPicPr>
      </xdr:nvPicPr>
      <xdr:blipFill>
        <a:blip xmlns:r="http://schemas.openxmlformats.org/officeDocument/2006/relationships" r:embed="rId1"/>
        <a:stretch>
          <a:fillRect/>
        </a:stretch>
      </xdr:blipFill>
      <xdr:spPr>
        <a:xfrm>
          <a:off x="7322820" y="5318760"/>
          <a:ext cx="6925642" cy="419158"/>
        </a:xfrm>
        <a:prstGeom prst="rect">
          <a:avLst/>
        </a:prstGeom>
      </xdr:spPr>
    </xdr:pic>
    <xdr:clientData/>
  </xdr:twoCellAnchor>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3"/>
        <a:stretch>
          <a:fillRect/>
        </a:stretch>
      </xdr:blipFill>
      <xdr:spPr>
        <a:xfrm>
          <a:off x="7861300" y="6470650"/>
          <a:ext cx="14260915" cy="282932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DB33B81-08D9-493A-B667-BB356FDCB2A5}" autoFormatId="16" applyNumberFormats="0" applyBorderFormats="0" applyFontFormats="0" applyPatternFormats="0" applyAlignmentFormats="0" applyWidthHeightFormats="0">
  <queryTableRefresh nextId="23" unboundColumnsRight="1">
    <queryTableFields count="19">
      <queryTableField id="1" name="Column1" tableColumnId="1"/>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20" dataBound="0" tableColumnId="20"/>
      <queryTableField id="17" name="Column17" tableColumnId="17"/>
      <queryTableField id="21" dataBound="0" tableColumnId="21"/>
      <queryTableField id="18" name="Column18" tableColumnId="18"/>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tabla" displayName="tabla" ref="A1:S10" tableType="queryTable" totalsRowShown="0" headerRowDxfId="4">
  <autoFilter ref="A1:S10" xr:uid="{68FA9C76-FCA0-4D72-98E9-7D3D441F0363}"/>
  <tableColumns count="19">
    <tableColumn id="1" xr3:uid="{0DB80D78-D4E0-48BE-9ABE-E24DA16E74C5}" uniqueName="1" name="Column1" queryTableFieldId="1" dataDxfId="9"/>
    <tableColumn id="4" xr3:uid="{7B55CB6A-31F8-4A24-ADCB-B8EB1DF9DBE4}" uniqueName="4" name="Column4" queryTableFieldId="4"/>
    <tableColumn id="5" xr3:uid="{F3949CAC-8401-40B6-AE2B-F0174F907322}" uniqueName="5" name="Jan" queryTableFieldId="5"/>
    <tableColumn id="6" xr3:uid="{03BF1F23-67B4-400C-8F55-F8A381FED846}" uniqueName="6" name="Feb" queryTableFieldId="6"/>
    <tableColumn id="7" xr3:uid="{1C0485B3-FB63-42A1-B5D0-C7F5E505231E}" uniqueName="7" name="Mar" queryTableFieldId="7"/>
    <tableColumn id="8" xr3:uid="{6818828D-0C32-449B-92B1-891B3E5845EF}" uniqueName="8" name="Apr" queryTableFieldId="8"/>
    <tableColumn id="9" xr3:uid="{E8E1FF81-C6CF-4FC7-A2A6-0264CE3E210B}" uniqueName="9" name="May" queryTableFieldId="9"/>
    <tableColumn id="10" xr3:uid="{5DDF9EA9-2BB8-415C-9C59-4771C8A3A808}" uniqueName="10" name="Jun" queryTableFieldId="10" dataDxfId="8"/>
    <tableColumn id="11" xr3:uid="{B6BB7DD2-85AB-44AB-9281-A4665038D069}" uniqueName="11" name="Jul" queryTableFieldId="11" dataDxfId="7"/>
    <tableColumn id="12" xr3:uid="{6AD7C3A1-B055-463C-A90F-CB9A378CBEC7}" uniqueName="12" name="Aug" queryTableFieldId="12" dataDxfId="6"/>
    <tableColumn id="13" xr3:uid="{79980511-6429-468D-B0F5-C13480573F6A}" uniqueName="13" name="Sep" queryTableFieldId="13" dataDxfId="5"/>
    <tableColumn id="14" xr3:uid="{0AF4C268-F603-4D89-B8A7-BC1E7FA6DA84}" uniqueName="14" name="Oct" queryTableFieldId="14"/>
    <tableColumn id="15" xr3:uid="{0A0DE776-3106-4036-ADE7-7765B06DC6EC}" uniqueName="15" name="Nov" queryTableFieldId="15"/>
    <tableColumn id="16" xr3:uid="{EE5C047F-DA0D-4C6C-BBDE-8EE645626AB5}" uniqueName="16" name="Dec" queryTableFieldId="16" dataDxfId="2"/>
    <tableColumn id="20" xr3:uid="{3EE65396-B2F9-42E7-8E54-DC353C709F67}" uniqueName="20" name="Ave Jun-Set" queryTableFieldId="20" dataDxfId="0" dataCellStyle="Check Cell">
      <calculatedColumnFormula>AVERAGE(tabla[[#This Row],[Jun]:[Sep]])</calculatedColumnFormula>
    </tableColumn>
    <tableColumn id="17" xr3:uid="{98D2EBA3-8809-4E1F-84B8-20E2026236B2}" uniqueName="17" name="fsh;with;on_x000a_(JUN-SET)" queryTableFieldId="17" dataDxfId="1"/>
    <tableColumn id="21" xr3:uid="{98D8C004-E164-4AA3-BACE-7E3F2C925BE4}" uniqueName="21" name="Ave  Oct-May" queryTableFieldId="21" dataCellStyle="Check Cell">
      <calculatedColumnFormula>AVERAGE(C2:G2,L2:N2)</calculatedColumnFormula>
    </tableColumn>
    <tableColumn id="18" xr3:uid="{CCB57259-B25A-4E65-8326-A2443B48164C}" uniqueName="18" name="fsh;with;off_x000a_(ENE-MAY_x000a_OCT-DIC)" queryTableFieldId="18"/>
    <tableColumn id="22" xr3:uid="{0C74175E-D223-4B64-A579-8EF4FA763C7E}" uniqueName="22" name="Column2" queryTableFieldId="22"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dimension ref="A1"/>
  <sheetViews>
    <sheetView workbookViewId="0">
      <selection activeCell="I22" sqref="I22"/>
    </sheetView>
  </sheetViews>
  <sheetFormatPr defaultRowHeight="14.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dimension ref="M3:V15"/>
  <sheetViews>
    <sheetView tabSelected="1" workbookViewId="0">
      <selection activeCell="P19" sqref="P19"/>
    </sheetView>
  </sheetViews>
  <sheetFormatPr defaultRowHeight="14.5"/>
  <sheetData>
    <row r="3" spans="13:22" ht="45">
      <c r="M3" s="101" t="s">
        <v>221</v>
      </c>
      <c r="N3" s="102" t="s">
        <v>222</v>
      </c>
      <c r="O3" s="103" t="s">
        <v>223</v>
      </c>
      <c r="P3" s="104" t="s">
        <v>224</v>
      </c>
      <c r="Q3" s="105" t="s">
        <v>225</v>
      </c>
      <c r="R3" s="104" t="s">
        <v>226</v>
      </c>
      <c r="S3" s="104" t="s">
        <v>227</v>
      </c>
      <c r="T3" s="104" t="s">
        <v>228</v>
      </c>
      <c r="U3" s="104" t="s">
        <v>229</v>
      </c>
      <c r="V3" s="8"/>
    </row>
    <row r="4" spans="13:22">
      <c r="M4" s="9"/>
      <c r="N4" s="9"/>
      <c r="O4" s="9"/>
      <c r="P4" s="9"/>
      <c r="Q4" s="9"/>
      <c r="R4" s="9"/>
      <c r="S4" s="9"/>
      <c r="T4" s="9"/>
      <c r="U4" s="9"/>
      <c r="V4" s="9"/>
    </row>
    <row r="5" spans="13:22">
      <c r="M5" s="106" t="s">
        <v>230</v>
      </c>
      <c r="N5" s="108" t="s">
        <v>231</v>
      </c>
      <c r="O5" s="109" t="s">
        <v>232</v>
      </c>
      <c r="P5" s="111" t="s">
        <v>233</v>
      </c>
      <c r="Q5" s="112">
        <v>1113</v>
      </c>
      <c r="R5" s="111" t="s">
        <v>234</v>
      </c>
      <c r="S5" s="111" t="s">
        <v>235</v>
      </c>
      <c r="T5" s="111" t="s">
        <v>236</v>
      </c>
      <c r="U5" s="111" t="s">
        <v>237</v>
      </c>
      <c r="V5" s="9"/>
    </row>
    <row r="6" spans="13:22" ht="16">
      <c r="M6" s="107"/>
      <c r="N6" s="108" t="s">
        <v>238</v>
      </c>
      <c r="O6" s="110"/>
      <c r="P6" s="111" t="s">
        <v>239</v>
      </c>
      <c r="Q6" s="112">
        <v>1195</v>
      </c>
      <c r="R6" s="111" t="s">
        <v>240</v>
      </c>
      <c r="S6" s="111" t="s">
        <v>241</v>
      </c>
      <c r="T6" s="111" t="s">
        <v>240</v>
      </c>
      <c r="U6" s="111" t="s">
        <v>242</v>
      </c>
      <c r="V6" s="9"/>
    </row>
    <row r="7" spans="13:22">
      <c r="M7" s="9"/>
      <c r="N7" s="9"/>
      <c r="O7" s="9"/>
      <c r="P7" s="9"/>
      <c r="Q7" s="9"/>
      <c r="R7" s="9"/>
      <c r="S7" s="9"/>
      <c r="T7" s="9"/>
      <c r="U7" s="9"/>
      <c r="V7" s="9"/>
    </row>
    <row r="8" spans="13:22" ht="16">
      <c r="M8" s="113" t="s">
        <v>243</v>
      </c>
      <c r="N8" s="114" t="s">
        <v>244</v>
      </c>
      <c r="O8" s="115" t="s">
        <v>245</v>
      </c>
      <c r="P8" s="115" t="s">
        <v>246</v>
      </c>
      <c r="Q8" s="116">
        <v>2368</v>
      </c>
      <c r="R8" s="115" t="s">
        <v>247</v>
      </c>
      <c r="S8" s="116">
        <v>1954</v>
      </c>
      <c r="T8" s="115" t="s">
        <v>248</v>
      </c>
      <c r="U8" s="115" t="s">
        <v>249</v>
      </c>
      <c r="V8" s="9"/>
    </row>
    <row r="9" spans="13:22">
      <c r="M9" s="9"/>
      <c r="N9" s="9"/>
      <c r="O9" s="9"/>
      <c r="P9" s="9"/>
      <c r="Q9" s="9"/>
      <c r="R9" s="9"/>
      <c r="S9" s="9"/>
      <c r="T9" s="9"/>
      <c r="U9" s="9"/>
      <c r="V9" s="9"/>
    </row>
    <row r="10" spans="13:22">
      <c r="M10" s="113" t="s">
        <v>250</v>
      </c>
      <c r="N10" s="114" t="s">
        <v>231</v>
      </c>
      <c r="O10" s="115" t="s">
        <v>251</v>
      </c>
      <c r="P10" s="115" t="s">
        <v>252</v>
      </c>
      <c r="Q10" s="116">
        <v>1113</v>
      </c>
      <c r="R10" s="115" t="s">
        <v>253</v>
      </c>
      <c r="S10" s="115" t="s">
        <v>235</v>
      </c>
      <c r="T10" s="115" t="s">
        <v>254</v>
      </c>
      <c r="U10" s="115" t="s">
        <v>255</v>
      </c>
      <c r="V10" s="9"/>
    </row>
    <row r="11" spans="13:22">
      <c r="M11" s="9"/>
      <c r="N11" s="9"/>
      <c r="O11" s="9"/>
      <c r="P11" s="9"/>
      <c r="Q11" s="9"/>
      <c r="R11" s="9"/>
      <c r="S11" s="9"/>
      <c r="T11" s="9"/>
      <c r="U11" s="9"/>
      <c r="V11" s="9"/>
    </row>
    <row r="12" spans="13:22">
      <c r="M12" s="113" t="s">
        <v>256</v>
      </c>
      <c r="N12" s="114" t="s">
        <v>257</v>
      </c>
      <c r="O12" s="115" t="s">
        <v>27</v>
      </c>
      <c r="P12" s="115" t="s">
        <v>258</v>
      </c>
      <c r="Q12" s="116">
        <v>2368</v>
      </c>
      <c r="R12" s="115" t="s">
        <v>259</v>
      </c>
      <c r="S12" s="116">
        <v>1954</v>
      </c>
      <c r="T12" s="115" t="s">
        <v>260</v>
      </c>
      <c r="U12" s="115" t="s">
        <v>261</v>
      </c>
      <c r="V12" s="9"/>
    </row>
    <row r="13" spans="13:22">
      <c r="M13" s="9"/>
      <c r="N13" s="9"/>
      <c r="O13" s="9"/>
      <c r="P13" s="9"/>
      <c r="Q13" s="9"/>
      <c r="R13" s="9"/>
      <c r="S13" s="9"/>
      <c r="T13" s="9"/>
      <c r="U13" s="9"/>
      <c r="V13" s="9"/>
    </row>
    <row r="14" spans="13:22">
      <c r="M14" s="117" t="s">
        <v>262</v>
      </c>
      <c r="N14" s="117"/>
      <c r="O14" s="118"/>
      <c r="P14" s="119" t="s">
        <v>263</v>
      </c>
      <c r="Q14" s="118"/>
      <c r="R14" s="119" t="s">
        <v>264</v>
      </c>
      <c r="S14" s="118"/>
      <c r="T14" s="119" t="s">
        <v>265</v>
      </c>
      <c r="U14" s="120" t="s">
        <v>266</v>
      </c>
      <c r="V14" s="9"/>
    </row>
    <row r="15" spans="13:22">
      <c r="M15" s="121" t="s">
        <v>267</v>
      </c>
      <c r="N15" s="121"/>
      <c r="O15" s="121"/>
      <c r="P15" s="121"/>
      <c r="Q15" s="121"/>
      <c r="R15" s="121"/>
      <c r="S15" s="121"/>
      <c r="T15" s="121"/>
      <c r="U15" s="121"/>
      <c r="V15" s="121"/>
    </row>
  </sheetData>
  <mergeCells count="4">
    <mergeCell ref="M5:M6"/>
    <mergeCell ref="O5:O6"/>
    <mergeCell ref="M14:N14"/>
    <mergeCell ref="M15:V1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66"/>
  <sheetViews>
    <sheetView topLeftCell="A43" workbookViewId="0">
      <selection activeCell="F64" sqref="F64"/>
    </sheetView>
  </sheetViews>
  <sheetFormatPr defaultRowHeight="14.5"/>
  <sheetData>
    <row r="1" spans="1:11" ht="45">
      <c r="A1" s="1" t="s">
        <v>0</v>
      </c>
      <c r="B1" s="2" t="s">
        <v>1</v>
      </c>
      <c r="C1" s="3" t="s">
        <v>2</v>
      </c>
      <c r="D1" s="4" t="s">
        <v>3</v>
      </c>
      <c r="E1" s="4" t="s">
        <v>4</v>
      </c>
      <c r="F1" s="5" t="s">
        <v>5</v>
      </c>
      <c r="G1" s="6" t="s">
        <v>6</v>
      </c>
      <c r="H1" s="6" t="s">
        <v>7</v>
      </c>
      <c r="I1" s="6" t="s">
        <v>8</v>
      </c>
      <c r="J1" s="7" t="s">
        <v>9</v>
      </c>
      <c r="K1" s="8"/>
    </row>
    <row r="2" spans="1:11">
      <c r="A2" s="69" t="s">
        <v>54</v>
      </c>
      <c r="B2" s="69"/>
      <c r="C2" s="69"/>
      <c r="D2" s="69"/>
      <c r="E2" s="69"/>
      <c r="F2" s="69"/>
      <c r="G2" s="69"/>
      <c r="H2" s="69"/>
      <c r="I2" s="69"/>
      <c r="J2" s="69"/>
      <c r="K2" s="69"/>
    </row>
    <row r="3" spans="1:11">
      <c r="A3" s="64" t="s">
        <v>10</v>
      </c>
      <c r="B3" s="64"/>
      <c r="C3" s="64"/>
      <c r="D3" s="64"/>
      <c r="E3" s="64"/>
      <c r="F3" s="64"/>
      <c r="G3" s="64"/>
      <c r="H3" s="64"/>
      <c r="I3" s="64"/>
      <c r="J3" s="64"/>
      <c r="K3" s="9"/>
    </row>
    <row r="4" spans="1:11">
      <c r="A4" s="70" t="s">
        <v>11</v>
      </c>
      <c r="B4" s="70"/>
      <c r="C4" s="70"/>
      <c r="D4" s="70"/>
      <c r="E4" s="70"/>
      <c r="F4" s="70"/>
      <c r="G4" s="70"/>
      <c r="H4" s="70"/>
      <c r="I4" s="70"/>
      <c r="J4" s="70"/>
      <c r="K4" s="70"/>
    </row>
    <row r="5" spans="1:11">
      <c r="A5" s="10" t="s">
        <v>12</v>
      </c>
      <c r="B5" s="10" t="s">
        <v>13</v>
      </c>
      <c r="C5" s="10" t="s">
        <v>55</v>
      </c>
      <c r="D5" s="11">
        <v>1</v>
      </c>
      <c r="E5" s="11">
        <v>1</v>
      </c>
      <c r="F5" s="10">
        <v>25.4</v>
      </c>
      <c r="G5" s="12"/>
      <c r="H5" s="10">
        <v>25.4</v>
      </c>
      <c r="I5" s="10">
        <v>0.22</v>
      </c>
      <c r="J5" s="13">
        <v>5.59</v>
      </c>
      <c r="K5" s="9"/>
    </row>
    <row r="6" spans="1:11">
      <c r="A6" s="10" t="s">
        <v>14</v>
      </c>
      <c r="B6" s="10" t="s">
        <v>13</v>
      </c>
      <c r="C6" s="10" t="s">
        <v>15</v>
      </c>
      <c r="D6" s="11">
        <v>1</v>
      </c>
      <c r="E6" s="11">
        <v>1</v>
      </c>
      <c r="F6" s="12"/>
      <c r="G6" s="10">
        <v>6.6</v>
      </c>
      <c r="H6" s="10">
        <v>6.6</v>
      </c>
      <c r="I6" s="10">
        <v>1.1399999999999999</v>
      </c>
      <c r="J6" s="13">
        <v>7.52</v>
      </c>
      <c r="K6" s="9"/>
    </row>
    <row r="7" spans="1:11">
      <c r="A7" s="10" t="s">
        <v>16</v>
      </c>
      <c r="B7" s="10" t="s">
        <v>13</v>
      </c>
      <c r="C7" s="10" t="s">
        <v>55</v>
      </c>
      <c r="D7" s="11">
        <v>1</v>
      </c>
      <c r="E7" s="11">
        <v>1</v>
      </c>
      <c r="F7" s="10">
        <v>25.4</v>
      </c>
      <c r="G7" s="12"/>
      <c r="H7" s="10">
        <v>25.4</v>
      </c>
      <c r="I7" s="10">
        <v>0.22</v>
      </c>
      <c r="J7" s="13">
        <v>5.59</v>
      </c>
      <c r="K7" s="9"/>
    </row>
    <row r="8" spans="1:11">
      <c r="A8" s="10" t="s">
        <v>17</v>
      </c>
      <c r="B8" s="10" t="s">
        <v>13</v>
      </c>
      <c r="C8" s="10" t="s">
        <v>15</v>
      </c>
      <c r="D8" s="11">
        <v>1</v>
      </c>
      <c r="E8" s="11">
        <v>1</v>
      </c>
      <c r="F8" s="14"/>
      <c r="G8" s="10">
        <v>6.6</v>
      </c>
      <c r="H8" s="10">
        <v>6.6</v>
      </c>
      <c r="I8" s="10">
        <v>1.1399999999999999</v>
      </c>
      <c r="J8" s="13">
        <v>7.52</v>
      </c>
      <c r="K8" s="9"/>
    </row>
    <row r="9" spans="1:11">
      <c r="A9" s="10" t="s">
        <v>18</v>
      </c>
      <c r="B9" s="10" t="s">
        <v>13</v>
      </c>
      <c r="C9" s="10" t="s">
        <v>55</v>
      </c>
      <c r="D9" s="11">
        <v>1</v>
      </c>
      <c r="E9" s="11">
        <v>1</v>
      </c>
      <c r="F9" s="10">
        <v>21</v>
      </c>
      <c r="G9" s="12"/>
      <c r="H9" s="10">
        <v>21</v>
      </c>
      <c r="I9" s="10">
        <v>0.22</v>
      </c>
      <c r="J9" s="13">
        <v>4.62</v>
      </c>
      <c r="K9" s="9"/>
    </row>
    <row r="10" spans="1:11">
      <c r="A10" s="10" t="s">
        <v>19</v>
      </c>
      <c r="B10" s="10" t="s">
        <v>13</v>
      </c>
      <c r="C10" s="10" t="s">
        <v>15</v>
      </c>
      <c r="D10" s="11">
        <v>1</v>
      </c>
      <c r="E10" s="11">
        <v>1</v>
      </c>
      <c r="F10" s="12"/>
      <c r="G10" s="10">
        <v>11</v>
      </c>
      <c r="H10" s="10">
        <v>11</v>
      </c>
      <c r="I10" s="10">
        <v>1.1399999999999999</v>
      </c>
      <c r="J10" s="13">
        <v>12.54</v>
      </c>
      <c r="K10" s="9"/>
    </row>
    <row r="11" spans="1:11">
      <c r="A11" s="10" t="s">
        <v>20</v>
      </c>
      <c r="B11" s="10" t="s">
        <v>13</v>
      </c>
      <c r="C11" s="10" t="s">
        <v>55</v>
      </c>
      <c r="D11" s="11">
        <v>1</v>
      </c>
      <c r="E11" s="11">
        <v>1</v>
      </c>
      <c r="F11" s="10">
        <v>27.6</v>
      </c>
      <c r="G11" s="12"/>
      <c r="H11" s="10">
        <v>27.6</v>
      </c>
      <c r="I11" s="10">
        <v>0.22</v>
      </c>
      <c r="J11" s="13">
        <v>6.07</v>
      </c>
      <c r="K11" s="9"/>
    </row>
    <row r="12" spans="1:11">
      <c r="A12" s="10" t="s">
        <v>21</v>
      </c>
      <c r="B12" s="10" t="s">
        <v>13</v>
      </c>
      <c r="C12" s="10" t="s">
        <v>22</v>
      </c>
      <c r="D12" s="11">
        <v>1</v>
      </c>
      <c r="E12" s="11">
        <v>1</v>
      </c>
      <c r="F12" s="14"/>
      <c r="G12" s="10">
        <v>2.2000000000000002</v>
      </c>
      <c r="H12" s="10">
        <v>2.2000000000000002</v>
      </c>
      <c r="I12" s="10">
        <v>2.2000000000000002</v>
      </c>
      <c r="J12" s="13">
        <v>4.84</v>
      </c>
      <c r="K12" s="9"/>
    </row>
    <row r="13" spans="1:11">
      <c r="A13" s="10" t="s">
        <v>23</v>
      </c>
      <c r="B13" s="10" t="s">
        <v>13</v>
      </c>
      <c r="C13" s="10" t="s">
        <v>15</v>
      </c>
      <c r="D13" s="11">
        <v>1</v>
      </c>
      <c r="E13" s="11">
        <v>1</v>
      </c>
      <c r="F13" s="12"/>
      <c r="G13" s="10">
        <v>2.2000000000000002</v>
      </c>
      <c r="H13" s="10">
        <v>2.2000000000000002</v>
      </c>
      <c r="I13" s="10">
        <v>1.1399999999999999</v>
      </c>
      <c r="J13" s="13">
        <v>2.5099999999999998</v>
      </c>
      <c r="K13" s="9"/>
    </row>
    <row r="14" spans="1:11">
      <c r="A14" s="15"/>
      <c r="B14" s="15"/>
      <c r="C14" s="15"/>
      <c r="D14" s="15"/>
      <c r="E14" s="15"/>
      <c r="F14" s="15"/>
      <c r="G14" s="15"/>
      <c r="H14" s="15"/>
      <c r="I14" s="15"/>
      <c r="J14" s="15"/>
      <c r="K14" s="9"/>
    </row>
    <row r="15" spans="1:11">
      <c r="A15" s="16" t="s">
        <v>24</v>
      </c>
      <c r="B15" s="16" t="s">
        <v>25</v>
      </c>
      <c r="C15" s="16" t="s">
        <v>26</v>
      </c>
      <c r="D15" s="17">
        <v>1</v>
      </c>
      <c r="E15" s="17">
        <v>0</v>
      </c>
      <c r="F15" s="16" t="s">
        <v>27</v>
      </c>
      <c r="G15" s="16" t="s">
        <v>27</v>
      </c>
      <c r="H15" s="16" t="s">
        <v>27</v>
      </c>
      <c r="I15" s="16">
        <v>0.19</v>
      </c>
      <c r="J15" s="16" t="s">
        <v>27</v>
      </c>
      <c r="K15" s="9"/>
    </row>
    <row r="16" spans="1:11">
      <c r="A16" s="16" t="s">
        <v>28</v>
      </c>
      <c r="B16" s="16" t="s">
        <v>25</v>
      </c>
      <c r="C16" s="16" t="s">
        <v>29</v>
      </c>
      <c r="D16" s="17">
        <v>1</v>
      </c>
      <c r="E16" s="17">
        <v>0</v>
      </c>
      <c r="F16" s="16" t="s">
        <v>27</v>
      </c>
      <c r="G16" s="16" t="s">
        <v>27</v>
      </c>
      <c r="H16" s="16" t="s">
        <v>27</v>
      </c>
      <c r="I16" s="16">
        <v>0.16</v>
      </c>
      <c r="J16" s="16" t="s">
        <v>27</v>
      </c>
      <c r="K16" s="9"/>
    </row>
    <row r="17" spans="1:11">
      <c r="A17" s="9"/>
      <c r="B17" s="9"/>
      <c r="C17" s="9"/>
      <c r="D17" s="9"/>
      <c r="E17" s="9"/>
      <c r="F17" s="9"/>
      <c r="G17" s="9"/>
      <c r="H17" s="9"/>
      <c r="I17" s="9"/>
      <c r="J17" s="9"/>
      <c r="K17" s="9"/>
    </row>
    <row r="18" spans="1:11">
      <c r="A18" s="64" t="s">
        <v>30</v>
      </c>
      <c r="B18" s="64"/>
      <c r="C18" s="64"/>
      <c r="D18" s="64"/>
      <c r="E18" s="64"/>
      <c r="F18" s="71" t="s">
        <v>56</v>
      </c>
      <c r="G18" s="71"/>
      <c r="H18" s="71"/>
      <c r="I18" s="18"/>
      <c r="J18" s="19">
        <v>56.8</v>
      </c>
      <c r="K18" s="9"/>
    </row>
    <row r="19" spans="1:11">
      <c r="A19" s="70" t="s">
        <v>31</v>
      </c>
      <c r="B19" s="70"/>
      <c r="C19" s="70"/>
      <c r="D19" s="70"/>
      <c r="E19" s="70"/>
      <c r="F19" s="70"/>
      <c r="G19" s="70"/>
      <c r="H19" s="70"/>
      <c r="I19" s="70"/>
      <c r="J19" s="70"/>
      <c r="K19" s="70"/>
    </row>
    <row r="20" spans="1:11">
      <c r="A20" s="16" t="s">
        <v>12</v>
      </c>
      <c r="B20" s="16" t="s">
        <v>13</v>
      </c>
      <c r="C20" s="16" t="s">
        <v>55</v>
      </c>
      <c r="D20" s="17">
        <v>0</v>
      </c>
      <c r="E20" s="16" t="s">
        <v>27</v>
      </c>
      <c r="F20" s="16" t="s">
        <v>27</v>
      </c>
      <c r="G20" s="16" t="s">
        <v>27</v>
      </c>
      <c r="H20" s="16" t="s">
        <v>27</v>
      </c>
      <c r="I20" s="16">
        <v>0.22</v>
      </c>
      <c r="J20" s="16" t="s">
        <v>27</v>
      </c>
      <c r="K20" s="9"/>
    </row>
    <row r="21" spans="1:11">
      <c r="A21" s="16" t="s">
        <v>16</v>
      </c>
      <c r="B21" s="16" t="s">
        <v>13</v>
      </c>
      <c r="C21" s="16" t="s">
        <v>55</v>
      </c>
      <c r="D21" s="17">
        <v>0</v>
      </c>
      <c r="E21" s="16" t="s">
        <v>27</v>
      </c>
      <c r="F21" s="16" t="s">
        <v>27</v>
      </c>
      <c r="G21" s="16" t="s">
        <v>27</v>
      </c>
      <c r="H21" s="16" t="s">
        <v>27</v>
      </c>
      <c r="I21" s="16">
        <v>0.22</v>
      </c>
      <c r="J21" s="16" t="s">
        <v>27</v>
      </c>
      <c r="K21" s="9"/>
    </row>
    <row r="22" spans="1:11">
      <c r="A22" s="16" t="s">
        <v>18</v>
      </c>
      <c r="B22" s="16" t="s">
        <v>13</v>
      </c>
      <c r="C22" s="16" t="s">
        <v>55</v>
      </c>
      <c r="D22" s="17">
        <v>0</v>
      </c>
      <c r="E22" s="16" t="s">
        <v>27</v>
      </c>
      <c r="F22" s="16" t="s">
        <v>27</v>
      </c>
      <c r="G22" s="16" t="s">
        <v>27</v>
      </c>
      <c r="H22" s="16" t="s">
        <v>27</v>
      </c>
      <c r="I22" s="16">
        <v>0.22</v>
      </c>
      <c r="J22" s="16" t="s">
        <v>27</v>
      </c>
      <c r="K22" s="9"/>
    </row>
    <row r="23" spans="1:11">
      <c r="A23" s="16" t="s">
        <v>20</v>
      </c>
      <c r="B23" s="16" t="s">
        <v>13</v>
      </c>
      <c r="C23" s="16" t="s">
        <v>55</v>
      </c>
      <c r="D23" s="17">
        <v>0</v>
      </c>
      <c r="E23" s="16" t="s">
        <v>27</v>
      </c>
      <c r="F23" s="16" t="s">
        <v>27</v>
      </c>
      <c r="G23" s="16" t="s">
        <v>27</v>
      </c>
      <c r="H23" s="16" t="s">
        <v>27</v>
      </c>
      <c r="I23" s="16">
        <v>0.22</v>
      </c>
      <c r="J23" s="16" t="s">
        <v>27</v>
      </c>
      <c r="K23" s="9"/>
    </row>
    <row r="24" spans="1:11">
      <c r="A24" s="16" t="s">
        <v>28</v>
      </c>
      <c r="B24" s="16" t="s">
        <v>25</v>
      </c>
      <c r="C24" s="16" t="s">
        <v>26</v>
      </c>
      <c r="D24" s="17">
        <v>0</v>
      </c>
      <c r="E24" s="16" t="s">
        <v>27</v>
      </c>
      <c r="F24" s="16" t="s">
        <v>27</v>
      </c>
      <c r="G24" s="16" t="s">
        <v>27</v>
      </c>
      <c r="H24" s="16" t="s">
        <v>27</v>
      </c>
      <c r="I24" s="16">
        <v>0.16</v>
      </c>
      <c r="J24" s="16" t="s">
        <v>27</v>
      </c>
      <c r="K24" s="9"/>
    </row>
    <row r="25" spans="1:11">
      <c r="A25" s="16" t="s">
        <v>32</v>
      </c>
      <c r="B25" s="16" t="s">
        <v>13</v>
      </c>
      <c r="C25" s="16" t="s">
        <v>33</v>
      </c>
      <c r="D25" s="17">
        <v>0</v>
      </c>
      <c r="E25" s="16" t="s">
        <v>27</v>
      </c>
      <c r="F25" s="16" t="s">
        <v>27</v>
      </c>
      <c r="G25" s="16" t="s">
        <v>27</v>
      </c>
      <c r="H25" s="16" t="s">
        <v>27</v>
      </c>
      <c r="I25" s="16">
        <v>0.17</v>
      </c>
      <c r="J25" s="16" t="s">
        <v>27</v>
      </c>
      <c r="K25" s="9"/>
    </row>
    <row r="26" spans="1:11">
      <c r="A26" s="16" t="s">
        <v>34</v>
      </c>
      <c r="B26" s="16" t="s">
        <v>13</v>
      </c>
      <c r="C26" s="16" t="s">
        <v>33</v>
      </c>
      <c r="D26" s="17">
        <v>0</v>
      </c>
      <c r="E26" s="16" t="s">
        <v>27</v>
      </c>
      <c r="F26" s="16" t="s">
        <v>27</v>
      </c>
      <c r="G26" s="16" t="s">
        <v>27</v>
      </c>
      <c r="H26" s="16" t="s">
        <v>27</v>
      </c>
      <c r="I26" s="16">
        <v>0.17</v>
      </c>
      <c r="J26" s="16" t="s">
        <v>27</v>
      </c>
      <c r="K26" s="9"/>
    </row>
    <row r="27" spans="1:11">
      <c r="A27" s="16" t="s">
        <v>35</v>
      </c>
      <c r="B27" s="16" t="s">
        <v>13</v>
      </c>
      <c r="C27" s="16" t="s">
        <v>33</v>
      </c>
      <c r="D27" s="17">
        <v>0</v>
      </c>
      <c r="E27" s="16" t="s">
        <v>27</v>
      </c>
      <c r="F27" s="16" t="s">
        <v>27</v>
      </c>
      <c r="G27" s="16" t="s">
        <v>27</v>
      </c>
      <c r="H27" s="16" t="s">
        <v>27</v>
      </c>
      <c r="I27" s="16">
        <v>0.17</v>
      </c>
      <c r="J27" s="16" t="s">
        <v>27</v>
      </c>
      <c r="K27" s="9"/>
    </row>
    <row r="28" spans="1:11">
      <c r="A28" s="16" t="s">
        <v>36</v>
      </c>
      <c r="B28" s="16" t="s">
        <v>13</v>
      </c>
      <c r="C28" s="16" t="s">
        <v>33</v>
      </c>
      <c r="D28" s="17">
        <v>0</v>
      </c>
      <c r="E28" s="16" t="s">
        <v>27</v>
      </c>
      <c r="F28" s="16" t="s">
        <v>27</v>
      </c>
      <c r="G28" s="16" t="s">
        <v>27</v>
      </c>
      <c r="H28" s="16" t="s">
        <v>27</v>
      </c>
      <c r="I28" s="16">
        <v>0.17</v>
      </c>
      <c r="J28" s="16" t="s">
        <v>27</v>
      </c>
      <c r="K28" s="9"/>
    </row>
    <row r="29" spans="1:11">
      <c r="A29" s="9"/>
      <c r="B29" s="9"/>
      <c r="C29" s="9"/>
      <c r="D29" s="9"/>
      <c r="E29" s="9"/>
      <c r="F29" s="9"/>
      <c r="G29" s="9"/>
      <c r="H29" s="9"/>
      <c r="I29" s="9"/>
      <c r="J29" s="9"/>
      <c r="K29" s="9"/>
    </row>
    <row r="30" spans="1:11">
      <c r="A30" s="64" t="s">
        <v>37</v>
      </c>
      <c r="B30" s="64"/>
      <c r="C30" s="64"/>
      <c r="D30" s="64"/>
      <c r="E30" s="64"/>
      <c r="F30" s="19">
        <v>0</v>
      </c>
      <c r="G30" s="19">
        <v>0</v>
      </c>
      <c r="H30" s="19">
        <v>0</v>
      </c>
      <c r="I30" s="18"/>
      <c r="J30" s="20"/>
      <c r="K30" s="9"/>
    </row>
    <row r="31" spans="1:11">
      <c r="A31" s="65"/>
      <c r="B31" s="65"/>
      <c r="C31" s="65"/>
      <c r="D31" s="65"/>
      <c r="E31" s="65"/>
      <c r="F31" s="9"/>
      <c r="G31" s="9"/>
      <c r="H31" s="9"/>
      <c r="I31" s="9"/>
      <c r="J31" s="9"/>
      <c r="K31" s="9"/>
    </row>
    <row r="32" spans="1:11">
      <c r="A32" s="62" t="s">
        <v>38</v>
      </c>
      <c r="B32" s="62"/>
      <c r="C32" s="62"/>
      <c r="D32" s="62"/>
      <c r="E32" s="62"/>
      <c r="F32" s="21">
        <v>99.4</v>
      </c>
      <c r="G32" s="21">
        <v>28.6</v>
      </c>
      <c r="H32" s="21">
        <v>128</v>
      </c>
      <c r="I32" s="20"/>
      <c r="J32" s="22">
        <v>56.8</v>
      </c>
      <c r="K32" s="9"/>
    </row>
    <row r="37" spans="1:6">
      <c r="A37" s="66" t="s">
        <v>39</v>
      </c>
      <c r="B37" s="66"/>
      <c r="C37" s="66"/>
      <c r="D37" s="66"/>
      <c r="E37" s="66"/>
    </row>
    <row r="38" spans="1:6" ht="27">
      <c r="A38" s="67" t="s">
        <v>40</v>
      </c>
      <c r="B38" s="68"/>
      <c r="C38" s="23" t="s">
        <v>41</v>
      </c>
      <c r="D38" s="24" t="s">
        <v>42</v>
      </c>
      <c r="E38" s="25" t="s">
        <v>43</v>
      </c>
      <c r="F38" t="s">
        <v>69</v>
      </c>
    </row>
    <row r="39" spans="1:6">
      <c r="A39" s="58" t="s">
        <v>44</v>
      </c>
      <c r="B39" s="59"/>
      <c r="C39" s="10">
        <v>0.1</v>
      </c>
      <c r="D39" s="10">
        <v>32</v>
      </c>
      <c r="E39" s="10">
        <v>3.2</v>
      </c>
    </row>
    <row r="40" spans="1:6">
      <c r="A40" s="58" t="s">
        <v>45</v>
      </c>
      <c r="B40" s="59"/>
      <c r="C40" s="10">
        <v>0.22500000000000001</v>
      </c>
      <c r="D40" s="10">
        <v>32</v>
      </c>
      <c r="E40" s="10">
        <v>7.2</v>
      </c>
    </row>
    <row r="41" spans="1:6">
      <c r="A41" s="58" t="s">
        <v>46</v>
      </c>
      <c r="B41" s="59"/>
      <c r="C41" s="10">
        <v>4.2999999999999997E-2</v>
      </c>
      <c r="D41" s="10">
        <v>18</v>
      </c>
      <c r="E41" s="10">
        <v>0.77</v>
      </c>
    </row>
    <row r="42" spans="1:6">
      <c r="A42" s="60" t="s">
        <v>47</v>
      </c>
      <c r="B42" s="61"/>
      <c r="C42" s="15"/>
      <c r="D42" s="15"/>
      <c r="E42" s="16">
        <v>0</v>
      </c>
    </row>
    <row r="43" spans="1:6">
      <c r="A43" s="60" t="s">
        <v>48</v>
      </c>
      <c r="B43" s="61"/>
      <c r="C43" s="15"/>
      <c r="D43" s="15"/>
      <c r="E43" s="16">
        <v>0</v>
      </c>
    </row>
    <row r="44" spans="1:6">
      <c r="A44" s="58" t="s">
        <v>49</v>
      </c>
      <c r="B44" s="59"/>
      <c r="C44" s="10">
        <v>0.51</v>
      </c>
      <c r="D44" s="10">
        <v>13</v>
      </c>
      <c r="E44" s="10">
        <v>6.63</v>
      </c>
    </row>
    <row r="45" spans="1:6">
      <c r="A45" s="14"/>
      <c r="B45" s="14"/>
      <c r="C45" s="14"/>
      <c r="D45" s="14"/>
      <c r="E45" s="10">
        <v>0</v>
      </c>
    </row>
    <row r="46" spans="1:6">
      <c r="A46" s="58" t="s">
        <v>50</v>
      </c>
      <c r="B46" s="59"/>
      <c r="C46" s="11">
        <v>0</v>
      </c>
      <c r="D46" s="10">
        <v>13</v>
      </c>
      <c r="E46" s="10">
        <v>0</v>
      </c>
    </row>
    <row r="47" spans="1:6">
      <c r="A47" s="14"/>
      <c r="B47" s="14"/>
      <c r="C47" s="14"/>
      <c r="D47" s="14"/>
      <c r="E47" s="10">
        <v>0</v>
      </c>
    </row>
    <row r="48" spans="1:6">
      <c r="A48" s="58" t="s">
        <v>51</v>
      </c>
      <c r="B48" s="59"/>
      <c r="C48" s="10">
        <v>0.01</v>
      </c>
      <c r="D48" s="10">
        <v>22</v>
      </c>
      <c r="E48" s="10">
        <v>0.22</v>
      </c>
    </row>
    <row r="49" spans="1:8">
      <c r="A49" s="14"/>
      <c r="B49" s="14"/>
      <c r="C49" s="14"/>
      <c r="D49" s="14"/>
      <c r="E49" s="10">
        <v>0</v>
      </c>
      <c r="F49">
        <f>H49/G49</f>
        <v>0.14270833333333333</v>
      </c>
      <c r="G49">
        <f>SUM(D44:D49)</f>
        <v>48</v>
      </c>
      <c r="H49">
        <f>SUMPRODUCT(C44:C49,D44:D49)</f>
        <v>6.85</v>
      </c>
    </row>
    <row r="50" spans="1:8">
      <c r="A50" s="60" t="s">
        <v>52</v>
      </c>
      <c r="B50" s="61"/>
      <c r="C50" s="15"/>
      <c r="D50" s="15"/>
      <c r="E50" s="16">
        <v>0</v>
      </c>
    </row>
    <row r="51" spans="1:8">
      <c r="A51" s="60" t="s">
        <v>53</v>
      </c>
      <c r="B51" s="61"/>
      <c r="C51" s="26"/>
      <c r="D51" s="26"/>
      <c r="E51" s="16">
        <v>0</v>
      </c>
    </row>
    <row r="52" spans="1:8">
      <c r="A52" s="9"/>
      <c r="B52" s="9"/>
      <c r="C52" s="9"/>
      <c r="D52" s="9"/>
      <c r="E52" s="9"/>
    </row>
    <row r="53" spans="1:8" ht="14.4" customHeight="1">
      <c r="A53" s="62" t="s">
        <v>38</v>
      </c>
      <c r="B53" s="62"/>
      <c r="C53" s="62"/>
      <c r="D53" s="35">
        <f>SUM(D39:D49)</f>
        <v>130</v>
      </c>
      <c r="E53" s="35">
        <f>SUM(E39:E49)</f>
        <v>18.02</v>
      </c>
    </row>
    <row r="58" spans="1:8">
      <c r="A58" s="63" t="s">
        <v>64</v>
      </c>
      <c r="B58" s="63"/>
      <c r="C58" s="63"/>
      <c r="D58" s="63"/>
    </row>
    <row r="59" spans="1:8">
      <c r="A59" s="63"/>
      <c r="B59" s="63"/>
      <c r="C59" s="63"/>
      <c r="D59" s="63"/>
    </row>
    <row r="60" spans="1:8">
      <c r="A60" s="50" t="s">
        <v>57</v>
      </c>
      <c r="B60" s="50"/>
      <c r="C60" s="50"/>
      <c r="D60" s="50"/>
    </row>
    <row r="61" spans="1:8">
      <c r="A61" s="51" t="s">
        <v>65</v>
      </c>
      <c r="B61" s="52"/>
      <c r="C61" s="53"/>
      <c r="D61" s="27"/>
    </row>
    <row r="62" spans="1:8">
      <c r="A62" s="54" t="s">
        <v>66</v>
      </c>
      <c r="B62" s="55"/>
      <c r="C62" s="56"/>
      <c r="D62" s="27"/>
    </row>
    <row r="63" spans="1:8">
      <c r="A63" s="27"/>
      <c r="B63" s="27"/>
      <c r="C63" s="27"/>
      <c r="D63" s="27"/>
    </row>
    <row r="64" spans="1:8">
      <c r="A64" s="28" t="s">
        <v>58</v>
      </c>
      <c r="B64" s="57" t="s">
        <v>59</v>
      </c>
      <c r="C64" s="57"/>
      <c r="D64" s="9"/>
    </row>
    <row r="65" spans="1:4" ht="36">
      <c r="A65" s="29" t="s">
        <v>60</v>
      </c>
      <c r="B65" s="30" t="s">
        <v>61</v>
      </c>
      <c r="C65" s="31" t="s">
        <v>62</v>
      </c>
      <c r="D65" s="8"/>
    </row>
    <row r="66" spans="1:4" ht="43.5">
      <c r="A66" s="32" t="s">
        <v>67</v>
      </c>
      <c r="B66" s="33" t="s">
        <v>68</v>
      </c>
      <c r="C66" s="34" t="s">
        <v>63</v>
      </c>
      <c r="D66" s="8"/>
    </row>
  </sheetData>
  <mergeCells count="27">
    <mergeCell ref="A19:K19"/>
    <mergeCell ref="A2:K2"/>
    <mergeCell ref="A3:J3"/>
    <mergeCell ref="A4:K4"/>
    <mergeCell ref="A18:E18"/>
    <mergeCell ref="F18:H18"/>
    <mergeCell ref="A46:B46"/>
    <mergeCell ref="A30:E30"/>
    <mergeCell ref="A31:E31"/>
    <mergeCell ref="A32:E32"/>
    <mergeCell ref="A37:E37"/>
    <mergeCell ref="A38:B38"/>
    <mergeCell ref="A39:B39"/>
    <mergeCell ref="A40:B40"/>
    <mergeCell ref="A41:B41"/>
    <mergeCell ref="A42:B42"/>
    <mergeCell ref="A43:B43"/>
    <mergeCell ref="A44:B44"/>
    <mergeCell ref="A60:D60"/>
    <mergeCell ref="A61:C61"/>
    <mergeCell ref="A62:C62"/>
    <mergeCell ref="B64:C64"/>
    <mergeCell ref="A48:B48"/>
    <mergeCell ref="A50:B50"/>
    <mergeCell ref="A51:B51"/>
    <mergeCell ref="A53:C53"/>
    <mergeCell ref="A58:D5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15"/>
  <sheetViews>
    <sheetView topLeftCell="A5" workbookViewId="0">
      <selection activeCell="M31" sqref="M31"/>
    </sheetView>
  </sheetViews>
  <sheetFormatPr defaultRowHeight="14.5"/>
  <cols>
    <col min="2" max="2" width="16.54296875" style="80" bestFit="1" customWidth="1"/>
    <col min="20" max="21" width="11.08984375" style="45" bestFit="1" customWidth="1"/>
    <col min="22" max="23" width="10.08984375" style="45" bestFit="1" customWidth="1"/>
    <col min="24" max="24" width="9.08984375" style="45" bestFit="1" customWidth="1"/>
    <col min="25" max="25" width="9" style="48" customWidth="1"/>
    <col min="26" max="26" width="9.08984375" style="48" customWidth="1"/>
    <col min="27" max="28" width="8.90625" style="48"/>
  </cols>
  <sheetData>
    <row r="1" spans="1:29" ht="54">
      <c r="A1" s="36" t="s">
        <v>70</v>
      </c>
      <c r="B1" s="78" t="s">
        <v>71</v>
      </c>
      <c r="C1" s="37" t="s">
        <v>72</v>
      </c>
      <c r="D1" s="4" t="s">
        <v>73</v>
      </c>
      <c r="E1" s="4" t="s">
        <v>74</v>
      </c>
      <c r="F1" s="6" t="s">
        <v>75</v>
      </c>
      <c r="G1" s="37" t="s">
        <v>76</v>
      </c>
      <c r="H1" s="37" t="s">
        <v>88</v>
      </c>
      <c r="I1" s="37" t="s">
        <v>89</v>
      </c>
      <c r="J1" s="4" t="s">
        <v>77</v>
      </c>
      <c r="K1" s="38" t="s">
        <v>78</v>
      </c>
      <c r="L1" s="8" t="s">
        <v>92</v>
      </c>
      <c r="Q1" t="s">
        <v>99</v>
      </c>
    </row>
    <row r="2" spans="1:29">
      <c r="A2" s="73" t="s">
        <v>90</v>
      </c>
      <c r="B2" s="73"/>
      <c r="C2" s="73"/>
      <c r="D2" s="73"/>
      <c r="E2" s="73"/>
      <c r="F2" s="73"/>
      <c r="G2" s="73"/>
      <c r="H2" s="73"/>
      <c r="I2" s="73"/>
      <c r="J2" s="73"/>
      <c r="K2" s="73"/>
      <c r="L2" s="73"/>
    </row>
    <row r="3" spans="1:29" ht="44" thickBot="1">
      <c r="A3" s="74" t="s">
        <v>10</v>
      </c>
      <c r="B3" s="74"/>
      <c r="C3" s="74"/>
      <c r="D3" s="74"/>
      <c r="E3" s="74"/>
      <c r="F3" s="74"/>
      <c r="G3" s="74"/>
      <c r="H3" s="74"/>
      <c r="I3" s="74"/>
      <c r="J3" s="74"/>
      <c r="K3" s="39">
        <v>0</v>
      </c>
      <c r="L3" s="9"/>
      <c r="T3" s="46" t="s">
        <v>100</v>
      </c>
      <c r="U3" s="46" t="s">
        <v>101</v>
      </c>
      <c r="V3" s="46" t="s">
        <v>102</v>
      </c>
      <c r="W3" s="46" t="s">
        <v>103</v>
      </c>
      <c r="X3" s="46" t="s">
        <v>104</v>
      </c>
      <c r="Y3" s="82" t="s">
        <v>105</v>
      </c>
      <c r="Z3" s="82" t="s">
        <v>106</v>
      </c>
      <c r="AA3" s="82" t="s">
        <v>107</v>
      </c>
      <c r="AB3" s="82" t="s">
        <v>108</v>
      </c>
      <c r="AC3" s="81"/>
    </row>
    <row r="4" spans="1:29" ht="15.5" thickTop="1" thickBot="1">
      <c r="A4" s="75" t="s">
        <v>11</v>
      </c>
      <c r="B4" s="75"/>
      <c r="C4" s="75"/>
      <c r="D4" s="75"/>
      <c r="E4" s="75"/>
      <c r="F4" s="75"/>
      <c r="G4" s="75"/>
      <c r="H4" s="75"/>
      <c r="I4" s="75"/>
      <c r="J4" s="75"/>
      <c r="K4" s="75"/>
      <c r="L4" s="75"/>
      <c r="Q4" t="s">
        <v>94</v>
      </c>
      <c r="R4">
        <v>180</v>
      </c>
      <c r="S4">
        <v>11</v>
      </c>
      <c r="T4" s="45">
        <v>83033.734375</v>
      </c>
      <c r="U4" s="45">
        <v>82091.632811999996</v>
      </c>
      <c r="V4" s="45">
        <v>47998.242187999997</v>
      </c>
      <c r="W4" s="45">
        <v>47998.242187999997</v>
      </c>
      <c r="X4" s="45">
        <v>1799.934082</v>
      </c>
      <c r="Y4" s="49">
        <f>U4/T4</f>
        <v>0.98865399021143319</v>
      </c>
      <c r="Z4" s="49">
        <f>V4/U4</f>
        <v>0.58469104029057284</v>
      </c>
      <c r="AA4" s="49">
        <f>W4/V4</f>
        <v>1</v>
      </c>
      <c r="AB4" s="49">
        <f>X4/W4</f>
        <v>3.7499999998958297E-2</v>
      </c>
      <c r="AC4" s="47">
        <f>0.05*0.75</f>
        <v>3.7500000000000006E-2</v>
      </c>
    </row>
    <row r="5" spans="1:29" ht="15.5" thickTop="1" thickBot="1">
      <c r="A5" s="40" t="s">
        <v>14</v>
      </c>
      <c r="B5" s="79" t="s">
        <v>79</v>
      </c>
      <c r="C5" s="41" t="s">
        <v>80</v>
      </c>
      <c r="D5" s="41">
        <v>6.6</v>
      </c>
      <c r="E5" s="41">
        <v>0.25</v>
      </c>
      <c r="F5" s="41">
        <v>56.67</v>
      </c>
      <c r="G5" s="41">
        <v>0.61</v>
      </c>
      <c r="H5" s="41">
        <v>0.05</v>
      </c>
      <c r="I5" s="41">
        <v>0.83</v>
      </c>
      <c r="J5" s="41">
        <v>1.76</v>
      </c>
      <c r="K5" s="41">
        <v>11.64</v>
      </c>
      <c r="L5" s="43">
        <v>0.76</v>
      </c>
      <c r="M5" s="44">
        <f>L5/I5</f>
        <v>0.9156626506024097</v>
      </c>
      <c r="N5" t="s">
        <v>93</v>
      </c>
      <c r="Q5" t="s">
        <v>95</v>
      </c>
      <c r="R5">
        <v>90</v>
      </c>
      <c r="S5">
        <v>6.6</v>
      </c>
      <c r="T5" s="45">
        <v>101231.226562</v>
      </c>
      <c r="U5" s="45">
        <v>101152.929688</v>
      </c>
      <c r="V5" s="45">
        <v>76249.914061999996</v>
      </c>
      <c r="W5" s="45">
        <v>76249.914061999996</v>
      </c>
      <c r="X5" s="45">
        <v>2859.3725589999999</v>
      </c>
      <c r="Y5" s="49">
        <f t="shared" ref="Y5:Y8" si="0">U5/T5</f>
        <v>0.99922655413098216</v>
      </c>
      <c r="Z5" s="49">
        <f t="shared" ref="Z5:Z8" si="1">V5/U5</f>
        <v>0.75380826138390822</v>
      </c>
      <c r="AA5" s="49">
        <f t="shared" ref="AA5:AA8" si="2">W5/V5</f>
        <v>1</v>
      </c>
      <c r="AB5" s="49">
        <f t="shared" ref="AB5:AB8" si="3">X5/W5</f>
        <v>3.7500010251486963E-2</v>
      </c>
      <c r="AC5" s="47">
        <f t="shared" ref="AC5:AC8" si="4">0.05*0.75</f>
        <v>3.7500000000000006E-2</v>
      </c>
    </row>
    <row r="6" spans="1:29" ht="15.5" thickTop="1" thickBot="1">
      <c r="A6" s="40" t="s">
        <v>17</v>
      </c>
      <c r="B6" s="79" t="s">
        <v>81</v>
      </c>
      <c r="C6" s="41" t="s">
        <v>82</v>
      </c>
      <c r="D6" s="41">
        <v>6.6</v>
      </c>
      <c r="E6" s="41">
        <v>0.25</v>
      </c>
      <c r="F6" s="41">
        <v>114.88</v>
      </c>
      <c r="G6" s="41">
        <v>0.61</v>
      </c>
      <c r="H6" s="41">
        <v>0.05</v>
      </c>
      <c r="I6" s="41">
        <v>0.84</v>
      </c>
      <c r="J6" s="41">
        <v>3.62</v>
      </c>
      <c r="K6" s="41">
        <v>23.88</v>
      </c>
      <c r="L6" s="43">
        <v>0.75</v>
      </c>
      <c r="M6" s="44">
        <f>L6/I6</f>
        <v>0.8928571428571429</v>
      </c>
      <c r="Q6" t="s">
        <v>96</v>
      </c>
      <c r="R6">
        <v>0</v>
      </c>
      <c r="S6">
        <v>6.6</v>
      </c>
      <c r="T6" s="45">
        <v>60244.039062000003</v>
      </c>
      <c r="U6" s="45">
        <v>59161.492187999997</v>
      </c>
      <c r="V6" s="45">
        <v>45646.957030999998</v>
      </c>
      <c r="W6" s="45">
        <v>45646.957030999998</v>
      </c>
      <c r="X6" s="45">
        <v>1711.7612300000001</v>
      </c>
      <c r="Y6" s="49">
        <f t="shared" si="0"/>
        <v>0.98203063919924249</v>
      </c>
      <c r="Z6" s="49">
        <f t="shared" si="1"/>
        <v>0.77156534331395354</v>
      </c>
      <c r="AA6" s="49">
        <f t="shared" si="2"/>
        <v>1</v>
      </c>
      <c r="AB6" s="49">
        <f t="shared" si="3"/>
        <v>3.7500007477771186E-2</v>
      </c>
      <c r="AC6" s="47">
        <f t="shared" si="4"/>
        <v>3.7500000000000006E-2</v>
      </c>
    </row>
    <row r="7" spans="1:29" ht="15.5" thickTop="1" thickBot="1">
      <c r="A7" s="40" t="s">
        <v>19</v>
      </c>
      <c r="B7" s="79" t="s">
        <v>83</v>
      </c>
      <c r="C7" s="41" t="s">
        <v>84</v>
      </c>
      <c r="D7" s="41">
        <v>11</v>
      </c>
      <c r="E7" s="41">
        <v>0.25</v>
      </c>
      <c r="F7" s="41">
        <v>82.09</v>
      </c>
      <c r="G7" s="41">
        <v>0.42</v>
      </c>
      <c r="H7" s="41">
        <v>0.05</v>
      </c>
      <c r="I7" s="41">
        <v>0.56000000000000005</v>
      </c>
      <c r="J7" s="41">
        <v>1.72</v>
      </c>
      <c r="K7" s="41">
        <v>18.96</v>
      </c>
      <c r="L7" s="9"/>
      <c r="Q7" t="s">
        <v>97</v>
      </c>
      <c r="R7">
        <v>270</v>
      </c>
      <c r="S7">
        <v>2.2000000000000002</v>
      </c>
      <c r="T7" s="45">
        <v>110897.351562</v>
      </c>
      <c r="U7" s="45">
        <v>110819.164062</v>
      </c>
      <c r="V7" s="45">
        <v>77502.5</v>
      </c>
      <c r="W7" s="45">
        <v>77502.5</v>
      </c>
      <c r="X7" s="45">
        <v>0</v>
      </c>
      <c r="Y7" s="49">
        <f t="shared" si="0"/>
        <v>0.9992949561112261</v>
      </c>
      <c r="Z7" s="49">
        <f t="shared" si="1"/>
        <v>0.69936008501778335</v>
      </c>
      <c r="AA7" s="49">
        <f t="shared" si="2"/>
        <v>1</v>
      </c>
      <c r="AB7" s="49">
        <f t="shared" si="3"/>
        <v>0</v>
      </c>
      <c r="AC7" s="47">
        <f t="shared" si="4"/>
        <v>3.7500000000000006E-2</v>
      </c>
    </row>
    <row r="8" spans="1:29" ht="15.5" thickTop="1" thickBot="1">
      <c r="A8" s="40" t="s">
        <v>21</v>
      </c>
      <c r="B8" s="79" t="s">
        <v>85</v>
      </c>
      <c r="C8" s="41" t="s">
        <v>86</v>
      </c>
      <c r="D8" s="41">
        <v>2.2000000000000002</v>
      </c>
      <c r="E8" s="41">
        <v>1</v>
      </c>
      <c r="F8" s="41">
        <v>106.71</v>
      </c>
      <c r="G8" s="41" t="s">
        <v>27</v>
      </c>
      <c r="H8" s="41">
        <v>0</v>
      </c>
      <c r="I8" s="41">
        <v>0.81</v>
      </c>
      <c r="J8" s="41">
        <v>0</v>
      </c>
      <c r="K8" s="41">
        <v>0</v>
      </c>
      <c r="L8" s="9"/>
      <c r="Q8" t="s">
        <v>98</v>
      </c>
      <c r="R8">
        <v>270</v>
      </c>
      <c r="S8">
        <v>2.2000000000000002</v>
      </c>
      <c r="T8" s="45">
        <v>110897.351562</v>
      </c>
      <c r="U8" s="45">
        <v>110819.164062</v>
      </c>
      <c r="V8" s="45">
        <v>77502.5</v>
      </c>
      <c r="W8" s="45">
        <v>77502.5</v>
      </c>
      <c r="X8" s="45">
        <v>2906.3447270000001</v>
      </c>
      <c r="Y8" s="49">
        <f t="shared" si="0"/>
        <v>0.9992949561112261</v>
      </c>
      <c r="Z8" s="49">
        <f t="shared" si="1"/>
        <v>0.69936008501778335</v>
      </c>
      <c r="AA8" s="49">
        <f t="shared" si="2"/>
        <v>1</v>
      </c>
      <c r="AB8" s="49">
        <f t="shared" si="3"/>
        <v>3.750001260604497E-2</v>
      </c>
      <c r="AC8" s="47">
        <f t="shared" si="4"/>
        <v>3.7500000000000006E-2</v>
      </c>
    </row>
    <row r="9" spans="1:29" ht="15" thickTop="1">
      <c r="A9" s="40" t="s">
        <v>23</v>
      </c>
      <c r="B9" s="79" t="s">
        <v>87</v>
      </c>
      <c r="C9" s="41" t="s">
        <v>86</v>
      </c>
      <c r="D9" s="41">
        <v>2.2000000000000002</v>
      </c>
      <c r="E9" s="41">
        <v>0.25</v>
      </c>
      <c r="F9" s="41">
        <v>106.71</v>
      </c>
      <c r="G9" s="41">
        <v>0.42</v>
      </c>
      <c r="H9" s="41">
        <v>0.05</v>
      </c>
      <c r="I9" s="41">
        <v>0.81</v>
      </c>
      <c r="J9" s="41">
        <v>3.24</v>
      </c>
      <c r="K9" s="41">
        <v>7.13</v>
      </c>
      <c r="L9" s="9">
        <v>0.7</v>
      </c>
      <c r="M9">
        <f>L9/I9</f>
        <v>0.86419753086419737</v>
      </c>
      <c r="X9" s="45">
        <f>SUM(X4:X8)</f>
        <v>9277.4125980000008</v>
      </c>
    </row>
    <row r="10" spans="1:29">
      <c r="A10" s="9"/>
      <c r="B10" s="77"/>
      <c r="C10" s="9"/>
      <c r="D10" s="9"/>
      <c r="E10" s="9"/>
      <c r="F10" s="9"/>
      <c r="G10" s="9"/>
      <c r="H10" s="9"/>
      <c r="I10" s="9"/>
      <c r="J10" s="9"/>
      <c r="K10" s="9"/>
      <c r="L10" s="9"/>
      <c r="Q10" t="s">
        <v>94</v>
      </c>
      <c r="R10">
        <v>180</v>
      </c>
      <c r="S10">
        <v>11</v>
      </c>
      <c r="T10" s="45">
        <v>83033.734375</v>
      </c>
      <c r="U10" s="45">
        <v>82091.632811999996</v>
      </c>
      <c r="V10" s="45">
        <v>47998.242187999997</v>
      </c>
      <c r="W10" s="45">
        <v>47998.242187999997</v>
      </c>
      <c r="X10" s="45">
        <v>1799.934082</v>
      </c>
    </row>
    <row r="11" spans="1:29">
      <c r="A11" s="74" t="s">
        <v>30</v>
      </c>
      <c r="B11" s="74"/>
      <c r="C11" s="74"/>
      <c r="D11" s="74"/>
      <c r="E11" s="74"/>
      <c r="F11" s="74"/>
      <c r="G11" s="74"/>
      <c r="H11" s="74"/>
      <c r="I11" s="74"/>
      <c r="J11" s="74"/>
      <c r="K11" s="39">
        <v>61.62</v>
      </c>
      <c r="L11" s="9"/>
      <c r="Q11" t="s">
        <v>95</v>
      </c>
      <c r="R11">
        <v>90</v>
      </c>
      <c r="S11">
        <v>6.6</v>
      </c>
      <c r="T11" s="45">
        <v>101231.226562</v>
      </c>
      <c r="U11" s="45">
        <v>101152.929688</v>
      </c>
      <c r="V11" s="45">
        <v>76249.914061999996</v>
      </c>
      <c r="W11" s="45">
        <v>76249.914061999996</v>
      </c>
      <c r="X11" s="45">
        <v>2859.3725589999999</v>
      </c>
    </row>
    <row r="12" spans="1:29">
      <c r="A12" s="76" t="s">
        <v>91</v>
      </c>
      <c r="B12" s="76"/>
      <c r="C12" s="76"/>
      <c r="D12" s="76"/>
      <c r="E12" s="76"/>
      <c r="F12" s="76"/>
      <c r="G12" s="76"/>
      <c r="H12" s="76"/>
      <c r="I12" s="76"/>
      <c r="J12" s="76"/>
      <c r="K12" s="76"/>
      <c r="L12" s="76"/>
      <c r="Q12" t="s">
        <v>96</v>
      </c>
      <c r="R12">
        <v>0</v>
      </c>
      <c r="S12">
        <v>6.6</v>
      </c>
      <c r="T12" s="45">
        <v>60244.039062000003</v>
      </c>
      <c r="U12" s="45">
        <v>59161.492187999997</v>
      </c>
      <c r="V12" s="45">
        <v>45646.957030999998</v>
      </c>
      <c r="W12" s="45">
        <v>45646.957030999998</v>
      </c>
      <c r="X12" s="45">
        <v>1711.7612300000001</v>
      </c>
    </row>
    <row r="13" spans="1:29">
      <c r="A13" s="74" t="s">
        <v>37</v>
      </c>
      <c r="B13" s="74"/>
      <c r="C13" s="74"/>
      <c r="D13" s="74"/>
      <c r="E13" s="74"/>
      <c r="F13" s="74"/>
      <c r="G13" s="74"/>
      <c r="H13" s="74"/>
      <c r="I13" s="74"/>
      <c r="J13" s="74"/>
      <c r="K13" s="39">
        <v>0</v>
      </c>
      <c r="L13" s="9"/>
      <c r="Q13" t="s">
        <v>97</v>
      </c>
      <c r="R13">
        <v>270</v>
      </c>
      <c r="S13">
        <v>2.2000000000000002</v>
      </c>
      <c r="T13" s="45">
        <v>110897.351562</v>
      </c>
      <c r="U13" s="45">
        <v>110819.164062</v>
      </c>
      <c r="V13" s="45">
        <v>77502.5</v>
      </c>
      <c r="W13" s="45">
        <v>77502.5</v>
      </c>
      <c r="X13" s="45">
        <v>0</v>
      </c>
    </row>
    <row r="14" spans="1:29">
      <c r="A14" s="9"/>
      <c r="B14" s="77"/>
      <c r="C14" s="9"/>
      <c r="D14" s="9"/>
      <c r="E14" s="9"/>
      <c r="F14" s="9"/>
      <c r="G14" s="9"/>
      <c r="H14" s="9"/>
      <c r="I14" s="9"/>
      <c r="J14" s="9"/>
      <c r="K14" s="9"/>
      <c r="L14" s="9"/>
      <c r="Q14" t="s">
        <v>98</v>
      </c>
      <c r="R14">
        <v>270</v>
      </c>
      <c r="S14">
        <v>2.2000000000000002</v>
      </c>
      <c r="T14" s="45">
        <v>110897.351562</v>
      </c>
      <c r="U14" s="45">
        <v>110819.164062</v>
      </c>
      <c r="V14" s="45">
        <v>77502.5</v>
      </c>
      <c r="W14" s="45">
        <v>77502.5</v>
      </c>
      <c r="X14" s="45">
        <v>2906.3447270000001</v>
      </c>
    </row>
    <row r="15" spans="1:29">
      <c r="A15" s="72" t="s">
        <v>38</v>
      </c>
      <c r="B15" s="72"/>
      <c r="C15" s="72"/>
      <c r="D15" s="72"/>
      <c r="E15" s="72"/>
      <c r="F15" s="72"/>
      <c r="G15" s="72"/>
      <c r="H15" s="72"/>
      <c r="I15" s="72"/>
      <c r="J15" s="72"/>
      <c r="K15" s="42">
        <v>61.62</v>
      </c>
      <c r="L15" s="27"/>
      <c r="X15" s="45">
        <f>SUM(X10:X14)</f>
        <v>9277.4125980000008</v>
      </c>
    </row>
  </sheetData>
  <mergeCells count="7">
    <mergeCell ref="A15:J15"/>
    <mergeCell ref="A2:L2"/>
    <mergeCell ref="A3:J3"/>
    <mergeCell ref="A4:L4"/>
    <mergeCell ref="A11:J11"/>
    <mergeCell ref="A12:L12"/>
    <mergeCell ref="A13:J1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dimension ref="A1:T14"/>
  <sheetViews>
    <sheetView topLeftCell="B1" workbookViewId="0">
      <selection activeCell="S21" sqref="S21"/>
    </sheetView>
  </sheetViews>
  <sheetFormatPr defaultRowHeight="14.5"/>
  <cols>
    <col min="1" max="7" width="10.54296875" bestFit="1" customWidth="1"/>
    <col min="8" max="14" width="11.54296875" bestFit="1" customWidth="1"/>
    <col min="15" max="15" width="11.54296875" customWidth="1"/>
    <col min="16" max="16" width="11.54296875" bestFit="1" customWidth="1"/>
    <col min="17" max="17" width="11.54296875" style="86" customWidth="1"/>
    <col min="18" max="18" width="11.54296875" bestFit="1" customWidth="1"/>
  </cols>
  <sheetData>
    <row r="1" spans="1:20" s="90" customFormat="1" ht="44" thickBot="1">
      <c r="A1" s="90" t="s">
        <v>192</v>
      </c>
      <c r="B1" s="90" t="s">
        <v>194</v>
      </c>
      <c r="C1" s="90" t="s">
        <v>204</v>
      </c>
      <c r="D1" s="90" t="s">
        <v>205</v>
      </c>
      <c r="E1" s="90" t="s">
        <v>206</v>
      </c>
      <c r="F1" s="90" t="s">
        <v>207</v>
      </c>
      <c r="G1" s="90" t="s">
        <v>208</v>
      </c>
      <c r="H1" s="91" t="s">
        <v>209</v>
      </c>
      <c r="I1" s="91" t="s">
        <v>210</v>
      </c>
      <c r="J1" s="91" t="s">
        <v>211</v>
      </c>
      <c r="K1" s="91" t="s">
        <v>212</v>
      </c>
      <c r="L1" s="90" t="s">
        <v>213</v>
      </c>
      <c r="M1" s="90" t="s">
        <v>214</v>
      </c>
      <c r="N1" s="90" t="s">
        <v>215</v>
      </c>
      <c r="O1" s="90" t="s">
        <v>220</v>
      </c>
      <c r="P1" s="94" t="s">
        <v>217</v>
      </c>
      <c r="Q1" s="95" t="s">
        <v>219</v>
      </c>
      <c r="R1" s="94" t="s">
        <v>218</v>
      </c>
      <c r="S1" s="90" t="s">
        <v>193</v>
      </c>
    </row>
    <row r="2" spans="1:20" ht="15.5" thickTop="1" thickBot="1">
      <c r="A2" s="85" t="s">
        <v>195</v>
      </c>
      <c r="B2" t="s">
        <v>216</v>
      </c>
      <c r="C2">
        <v>0.48</v>
      </c>
      <c r="D2">
        <v>0.64</v>
      </c>
      <c r="E2">
        <v>0.76</v>
      </c>
      <c r="F2">
        <v>0.82</v>
      </c>
      <c r="G2">
        <v>0.84</v>
      </c>
      <c r="H2" s="83">
        <v>0.85</v>
      </c>
      <c r="I2" s="83">
        <v>0.86</v>
      </c>
      <c r="J2" s="83">
        <v>0.88</v>
      </c>
      <c r="K2" s="83">
        <v>0.8</v>
      </c>
      <c r="L2">
        <v>0.73</v>
      </c>
      <c r="M2">
        <v>0.56000000000000005</v>
      </c>
      <c r="N2">
        <v>0.4</v>
      </c>
      <c r="O2" s="97">
        <f>AVERAGE(tabla[[#This Row],[Jun]:[Sep]])</f>
        <v>0.84749999999999992</v>
      </c>
      <c r="P2">
        <v>0.85</v>
      </c>
      <c r="Q2" s="96">
        <f t="shared" ref="Q2:Q10" si="0">AVERAGE(C2:G2,L2:N2)</f>
        <v>0.65375000000000005</v>
      </c>
      <c r="R2">
        <v>0.65</v>
      </c>
    </row>
    <row r="3" spans="1:20" ht="15.5" thickTop="1" thickBot="1">
      <c r="A3" s="85" t="s">
        <v>196</v>
      </c>
      <c r="B3" t="s">
        <v>216</v>
      </c>
      <c r="C3">
        <v>0</v>
      </c>
      <c r="D3">
        <v>0</v>
      </c>
      <c r="E3">
        <v>0.11</v>
      </c>
      <c r="F3">
        <v>0.34</v>
      </c>
      <c r="G3">
        <v>0.45</v>
      </c>
      <c r="H3" s="83">
        <v>0.47</v>
      </c>
      <c r="I3" s="83">
        <v>0.5</v>
      </c>
      <c r="J3" s="83">
        <v>0.45</v>
      </c>
      <c r="K3" s="83">
        <v>0.23</v>
      </c>
      <c r="L3">
        <v>0.01</v>
      </c>
      <c r="M3">
        <v>0</v>
      </c>
      <c r="N3">
        <v>0</v>
      </c>
      <c r="O3" s="97">
        <f>AVERAGE(tabla[[#This Row],[Jun]:[Sep]])</f>
        <v>0.41249999999999998</v>
      </c>
      <c r="P3">
        <v>0.41</v>
      </c>
      <c r="Q3" s="96">
        <f t="shared" si="0"/>
        <v>0.11375</v>
      </c>
      <c r="R3">
        <v>0.11</v>
      </c>
    </row>
    <row r="4" spans="1:20" s="93" customFormat="1" ht="15.5" thickTop="1" thickBot="1">
      <c r="A4" s="92" t="s">
        <v>197</v>
      </c>
      <c r="B4" s="93" t="s">
        <v>216</v>
      </c>
      <c r="C4" s="93">
        <v>0.48</v>
      </c>
      <c r="D4" s="93">
        <v>0.47</v>
      </c>
      <c r="E4" s="93">
        <v>0.54</v>
      </c>
      <c r="F4" s="93">
        <v>0.61</v>
      </c>
      <c r="G4" s="93">
        <v>0.61</v>
      </c>
      <c r="H4" s="93">
        <v>0.6</v>
      </c>
      <c r="I4" s="93">
        <v>0.65</v>
      </c>
      <c r="J4" s="93">
        <v>0.67</v>
      </c>
      <c r="K4" s="93">
        <v>0.57999999999999996</v>
      </c>
      <c r="L4" s="93">
        <v>0.55000000000000004</v>
      </c>
      <c r="M4" s="93">
        <v>0.48</v>
      </c>
      <c r="N4" s="93">
        <v>0.49</v>
      </c>
      <c r="O4" s="97">
        <f>AVERAGE(tabla[[#This Row],[Jun]:[Sep]])</f>
        <v>0.625</v>
      </c>
      <c r="P4" s="93">
        <v>0.63</v>
      </c>
      <c r="Q4" s="96">
        <f t="shared" si="0"/>
        <v>0.52874999999999994</v>
      </c>
      <c r="R4" s="93">
        <v>0.53</v>
      </c>
    </row>
    <row r="5" spans="1:20" ht="15.5" thickTop="1" thickBot="1">
      <c r="A5" s="85" t="s">
        <v>198</v>
      </c>
      <c r="B5" t="s">
        <v>216</v>
      </c>
      <c r="C5">
        <v>0.76</v>
      </c>
      <c r="D5">
        <v>0.73</v>
      </c>
      <c r="E5">
        <v>0.73</v>
      </c>
      <c r="F5">
        <v>0.68</v>
      </c>
      <c r="G5">
        <v>0.64</v>
      </c>
      <c r="H5" s="83">
        <v>0.56999999999999995</v>
      </c>
      <c r="I5" s="83">
        <v>0.64</v>
      </c>
      <c r="J5" s="83">
        <v>0.75</v>
      </c>
      <c r="K5" s="83">
        <v>0.72</v>
      </c>
      <c r="L5">
        <v>0.79</v>
      </c>
      <c r="M5">
        <v>0.74</v>
      </c>
      <c r="N5">
        <v>0.78</v>
      </c>
      <c r="O5" s="97">
        <f>AVERAGE(tabla[[#This Row],[Jun]:[Sep]])</f>
        <v>0.66999999999999993</v>
      </c>
      <c r="P5">
        <v>0.67</v>
      </c>
      <c r="Q5" s="96">
        <f t="shared" si="0"/>
        <v>0.73125000000000007</v>
      </c>
      <c r="R5">
        <v>0.73</v>
      </c>
    </row>
    <row r="6" spans="1:20" ht="15.5" thickTop="1" thickBot="1">
      <c r="A6" s="85" t="s">
        <v>199</v>
      </c>
      <c r="B6" t="s">
        <v>216</v>
      </c>
      <c r="C6">
        <v>0.8</v>
      </c>
      <c r="D6">
        <v>0.78</v>
      </c>
      <c r="E6">
        <v>0.78</v>
      </c>
      <c r="F6">
        <v>0.67</v>
      </c>
      <c r="G6">
        <v>0.56999999999999995</v>
      </c>
      <c r="H6" s="83">
        <v>0.46</v>
      </c>
      <c r="I6" s="83">
        <v>0.56999999999999995</v>
      </c>
      <c r="J6" s="83">
        <v>0.69</v>
      </c>
      <c r="K6" s="83">
        <v>0.74</v>
      </c>
      <c r="L6">
        <v>0.81</v>
      </c>
      <c r="M6">
        <v>0.81</v>
      </c>
      <c r="N6">
        <v>0.84</v>
      </c>
      <c r="O6" s="97">
        <f>AVERAGE(tabla[[#This Row],[Jun]:[Sep]])</f>
        <v>0.61499999999999999</v>
      </c>
      <c r="P6">
        <v>0.62</v>
      </c>
      <c r="Q6" s="96">
        <f t="shared" si="0"/>
        <v>0.75750000000000006</v>
      </c>
      <c r="R6">
        <v>0.76</v>
      </c>
    </row>
    <row r="7" spans="1:20" ht="15.5" thickTop="1" thickBot="1">
      <c r="A7" s="85" t="s">
        <v>200</v>
      </c>
      <c r="B7" t="s">
        <v>216</v>
      </c>
      <c r="C7">
        <v>0.75</v>
      </c>
      <c r="D7">
        <v>0.76</v>
      </c>
      <c r="E7">
        <v>0.76</v>
      </c>
      <c r="F7">
        <v>0.68</v>
      </c>
      <c r="G7">
        <v>0.65</v>
      </c>
      <c r="H7" s="83">
        <v>0.56999999999999995</v>
      </c>
      <c r="I7" s="83">
        <v>0.62</v>
      </c>
      <c r="J7" s="83">
        <v>0.73</v>
      </c>
      <c r="K7" s="83">
        <v>0.7</v>
      </c>
      <c r="L7">
        <v>0.79</v>
      </c>
      <c r="M7">
        <v>0.76</v>
      </c>
      <c r="N7">
        <v>0.71</v>
      </c>
      <c r="O7" s="97">
        <f>AVERAGE(tabla[[#This Row],[Jun]:[Sep]])</f>
        <v>0.65500000000000003</v>
      </c>
      <c r="P7">
        <v>0.66</v>
      </c>
      <c r="Q7" s="96">
        <f t="shared" si="0"/>
        <v>0.73250000000000004</v>
      </c>
      <c r="R7">
        <v>0.73</v>
      </c>
    </row>
    <row r="8" spans="1:20" ht="15.5" thickTop="1" thickBot="1">
      <c r="A8" s="85" t="s">
        <v>201</v>
      </c>
      <c r="B8" t="s">
        <v>216</v>
      </c>
      <c r="C8">
        <v>0.47</v>
      </c>
      <c r="D8">
        <v>0.52</v>
      </c>
      <c r="E8">
        <v>0.61</v>
      </c>
      <c r="F8">
        <v>0.59</v>
      </c>
      <c r="G8">
        <v>0.63</v>
      </c>
      <c r="H8" s="83">
        <v>0.64</v>
      </c>
      <c r="I8" s="83">
        <v>0.6</v>
      </c>
      <c r="J8" s="83">
        <v>0.63</v>
      </c>
      <c r="K8" s="83">
        <v>0.56000000000000005</v>
      </c>
      <c r="L8">
        <v>0.57999999999999996</v>
      </c>
      <c r="M8">
        <v>0.46</v>
      </c>
      <c r="N8">
        <v>0.38</v>
      </c>
      <c r="O8" s="97">
        <f>AVERAGE(tabla[[#This Row],[Jun]:[Sep]])</f>
        <v>0.60750000000000004</v>
      </c>
      <c r="P8">
        <v>0.61</v>
      </c>
      <c r="Q8" s="96">
        <f t="shared" si="0"/>
        <v>0.53</v>
      </c>
      <c r="R8">
        <v>0.53</v>
      </c>
    </row>
    <row r="9" spans="1:20" ht="15.5" thickTop="1" thickBot="1">
      <c r="A9" s="85" t="s">
        <v>202</v>
      </c>
      <c r="B9" t="s">
        <v>216</v>
      </c>
      <c r="C9">
        <v>0</v>
      </c>
      <c r="D9">
        <v>0.03</v>
      </c>
      <c r="E9">
        <v>0.17</v>
      </c>
      <c r="F9">
        <v>0.31</v>
      </c>
      <c r="G9">
        <v>0.45</v>
      </c>
      <c r="H9" s="83">
        <v>0.49</v>
      </c>
      <c r="I9" s="83">
        <v>0.45</v>
      </c>
      <c r="J9" s="83">
        <v>0.4</v>
      </c>
      <c r="K9" s="83">
        <v>0.2</v>
      </c>
      <c r="L9">
        <v>0.03</v>
      </c>
      <c r="M9">
        <v>0</v>
      </c>
      <c r="N9">
        <v>0</v>
      </c>
      <c r="O9" s="97">
        <f>AVERAGE(tabla[[#This Row],[Jun]:[Sep]])</f>
        <v>0.38499999999999995</v>
      </c>
      <c r="P9">
        <v>0.39</v>
      </c>
      <c r="Q9" s="96">
        <f t="shared" si="0"/>
        <v>0.12375</v>
      </c>
      <c r="R9">
        <v>0.12</v>
      </c>
    </row>
    <row r="10" spans="1:20" ht="15.5" thickTop="1" thickBot="1">
      <c r="A10" s="85" t="s">
        <v>203</v>
      </c>
      <c r="B10" t="s">
        <v>216</v>
      </c>
      <c r="C10">
        <v>0</v>
      </c>
      <c r="D10">
        <v>0</v>
      </c>
      <c r="E10">
        <v>0</v>
      </c>
      <c r="F10">
        <v>0</v>
      </c>
      <c r="G10">
        <v>0</v>
      </c>
      <c r="H10" s="83">
        <v>0</v>
      </c>
      <c r="I10" s="83">
        <v>0</v>
      </c>
      <c r="J10" s="83">
        <v>0</v>
      </c>
      <c r="K10" s="83">
        <v>0</v>
      </c>
      <c r="L10">
        <v>0</v>
      </c>
      <c r="M10">
        <v>0</v>
      </c>
      <c r="N10">
        <v>0</v>
      </c>
      <c r="O10" s="97">
        <f>AVERAGE(tabla[[#This Row],[Jun]:[Sep]])</f>
        <v>0</v>
      </c>
      <c r="P10">
        <v>0</v>
      </c>
      <c r="Q10" s="96">
        <f t="shared" si="0"/>
        <v>0</v>
      </c>
      <c r="R10">
        <v>0</v>
      </c>
    </row>
    <row r="11" spans="1:20" ht="15" thickTop="1"/>
    <row r="12" spans="1:20">
      <c r="B12">
        <v>0.6</v>
      </c>
    </row>
    <row r="13" spans="1:20">
      <c r="B13">
        <v>0.05</v>
      </c>
      <c r="C13" s="98">
        <f>$B$12*(1-C4)+$B$13*C4</f>
        <v>0.33600000000000002</v>
      </c>
      <c r="D13" s="98">
        <f t="shared" ref="D13:N13" si="1">$B$12*(1-D4)+$B$13*D4</f>
        <v>0.34150000000000003</v>
      </c>
      <c r="E13" s="98">
        <f t="shared" si="1"/>
        <v>0.30299999999999999</v>
      </c>
      <c r="F13" s="98">
        <f t="shared" si="1"/>
        <v>0.26449999999999996</v>
      </c>
      <c r="G13" s="98">
        <f t="shared" si="1"/>
        <v>0.26449999999999996</v>
      </c>
      <c r="H13" s="98">
        <f t="shared" si="1"/>
        <v>0.27</v>
      </c>
      <c r="I13" s="98">
        <f t="shared" si="1"/>
        <v>0.24249999999999999</v>
      </c>
      <c r="J13" s="98">
        <f t="shared" si="1"/>
        <v>0.23149999999999998</v>
      </c>
      <c r="K13" s="98">
        <f t="shared" si="1"/>
        <v>0.28100000000000003</v>
      </c>
      <c r="L13" s="98">
        <f t="shared" si="1"/>
        <v>0.29749999999999999</v>
      </c>
      <c r="M13" s="98">
        <f t="shared" si="1"/>
        <v>0.33600000000000002</v>
      </c>
      <c r="N13" s="98">
        <f t="shared" si="1"/>
        <v>0.33050000000000002</v>
      </c>
      <c r="O13" s="98">
        <f t="shared" ref="J13:R13" si="2">0.61*(1-O4)+0.05*O4</f>
        <v>0.26</v>
      </c>
      <c r="P13" s="98">
        <f t="shared" si="2"/>
        <v>0.25719999999999998</v>
      </c>
      <c r="Q13" s="98">
        <f t="shared" si="2"/>
        <v>0.31390000000000001</v>
      </c>
      <c r="R13" s="98">
        <f t="shared" si="2"/>
        <v>0.31319999999999998</v>
      </c>
      <c r="S13" s="99">
        <f>AVERAGE(C13:R13)</f>
        <v>0.29017500000000002</v>
      </c>
      <c r="T13" s="99">
        <f>S13/$B$12</f>
        <v>0.48362500000000003</v>
      </c>
    </row>
    <row r="14" spans="1:20">
      <c r="C14" s="100"/>
      <c r="D14" s="100"/>
      <c r="E14" s="100"/>
      <c r="F14" s="100"/>
      <c r="G14" s="100"/>
      <c r="H14" s="100"/>
      <c r="I14" s="100"/>
      <c r="J14" s="100"/>
      <c r="K14" s="100"/>
      <c r="L14" s="100">
        <f>AVERAGE(H13:K13)</f>
        <v>0.25624999999999998</v>
      </c>
      <c r="M14" s="100"/>
      <c r="N14" s="100"/>
      <c r="O14" s="100"/>
      <c r="P14" s="100"/>
      <c r="Q14" s="100"/>
      <c r="R14" s="100"/>
      <c r="S14" s="100">
        <f>AVERAGE(H13:K13)</f>
        <v>0.25624999999999998</v>
      </c>
      <c r="T14" s="99">
        <f>S14/$B$12</f>
        <v>0.42708333333333331</v>
      </c>
    </row>
  </sheetData>
  <phoneticPr fontId="30"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dimension ref="A1:Q26"/>
  <sheetViews>
    <sheetView workbookViewId="0"/>
  </sheetViews>
  <sheetFormatPr defaultRowHeight="14.5"/>
  <sheetData>
    <row r="1" spans="1:17">
      <c r="A1" s="84" t="s">
        <v>109</v>
      </c>
      <c r="B1" s="84" t="s">
        <v>110</v>
      </c>
      <c r="C1" s="84" t="s">
        <v>111</v>
      </c>
      <c r="D1" s="84" t="s">
        <v>112</v>
      </c>
      <c r="E1" s="84" t="s">
        <v>113</v>
      </c>
      <c r="F1" s="84" t="s">
        <v>114</v>
      </c>
      <c r="G1" s="84" t="s">
        <v>115</v>
      </c>
      <c r="H1" s="84" t="s">
        <v>116</v>
      </c>
      <c r="I1" s="84" t="s">
        <v>117</v>
      </c>
      <c r="J1" s="84" t="s">
        <v>118</v>
      </c>
      <c r="K1" s="84" t="s">
        <v>119</v>
      </c>
      <c r="L1" s="84" t="s">
        <v>120</v>
      </c>
      <c r="M1" s="84" t="s">
        <v>121</v>
      </c>
      <c r="N1" s="84" t="s">
        <v>122</v>
      </c>
      <c r="O1" s="84" t="s">
        <v>123</v>
      </c>
      <c r="P1" t="s">
        <v>125</v>
      </c>
    </row>
    <row r="2" spans="1:17">
      <c r="A2" s="84"/>
      <c r="B2" s="84"/>
      <c r="C2" s="84"/>
      <c r="D2" s="84"/>
      <c r="E2" s="84"/>
      <c r="F2" s="84"/>
      <c r="G2" s="84"/>
      <c r="H2" s="84"/>
      <c r="I2" s="84"/>
      <c r="J2" s="84"/>
      <c r="K2" s="84"/>
      <c r="L2" s="84"/>
      <c r="M2" s="84"/>
      <c r="N2" s="84"/>
      <c r="O2" s="84" t="s">
        <v>124</v>
      </c>
      <c r="P2" t="s">
        <v>126</v>
      </c>
    </row>
    <row r="3" spans="1:17">
      <c r="A3" s="84"/>
      <c r="B3" s="84"/>
      <c r="C3" s="84"/>
      <c r="D3" s="84"/>
      <c r="E3" s="84"/>
      <c r="F3" s="84"/>
      <c r="G3" s="84"/>
      <c r="H3" s="84"/>
      <c r="I3" s="84"/>
      <c r="J3" s="84"/>
      <c r="K3" s="84"/>
      <c r="L3" s="84"/>
      <c r="M3" s="84"/>
      <c r="N3" s="84"/>
      <c r="O3" s="84"/>
      <c r="P3" t="s">
        <v>127</v>
      </c>
    </row>
    <row r="4" spans="1:17">
      <c r="A4" s="84" t="s">
        <v>128</v>
      </c>
      <c r="B4" s="84" t="s">
        <v>129</v>
      </c>
      <c r="C4" s="87" t="s">
        <v>130</v>
      </c>
      <c r="D4" s="87" t="s">
        <v>131</v>
      </c>
      <c r="E4" s="87" t="s">
        <v>132</v>
      </c>
      <c r="F4" s="87" t="s">
        <v>133</v>
      </c>
      <c r="G4" s="87" t="s">
        <v>134</v>
      </c>
      <c r="H4" s="88" t="s">
        <v>135</v>
      </c>
      <c r="I4" s="88" t="s">
        <v>136</v>
      </c>
      <c r="J4" s="88" t="s">
        <v>137</v>
      </c>
      <c r="K4" s="88" t="s">
        <v>138</v>
      </c>
      <c r="L4" s="87" t="s">
        <v>139</v>
      </c>
      <c r="M4" s="87" t="s">
        <v>140</v>
      </c>
      <c r="N4" s="87" t="s">
        <v>141</v>
      </c>
      <c r="O4" s="87" t="s">
        <v>135</v>
      </c>
      <c r="P4" s="89" t="s">
        <v>142</v>
      </c>
      <c r="Q4" t="e">
        <f>AVERAGE(H4:K4)</f>
        <v>#DIV/0!</v>
      </c>
    </row>
    <row r="5" spans="1:17">
      <c r="A5" s="84" t="s">
        <v>143</v>
      </c>
      <c r="B5" s="84" t="s">
        <v>129</v>
      </c>
      <c r="C5" s="87" t="s">
        <v>144</v>
      </c>
      <c r="D5" s="87" t="s">
        <v>144</v>
      </c>
      <c r="E5" s="87" t="s">
        <v>145</v>
      </c>
      <c r="F5" s="87" t="s">
        <v>146</v>
      </c>
      <c r="G5" s="87" t="s">
        <v>147</v>
      </c>
      <c r="H5" s="88" t="s">
        <v>148</v>
      </c>
      <c r="I5" s="88" t="s">
        <v>149</v>
      </c>
      <c r="J5" s="88" t="s">
        <v>147</v>
      </c>
      <c r="K5" s="88" t="s">
        <v>150</v>
      </c>
      <c r="L5" s="87" t="s">
        <v>151</v>
      </c>
      <c r="M5" s="87" t="s">
        <v>144</v>
      </c>
      <c r="N5" s="87" t="s">
        <v>144</v>
      </c>
      <c r="O5" s="87" t="s">
        <v>152</v>
      </c>
      <c r="P5" s="89" t="s">
        <v>145</v>
      </c>
    </row>
    <row r="6" spans="1:17">
      <c r="A6" s="84" t="s">
        <v>153</v>
      </c>
      <c r="B6" s="84" t="s">
        <v>129</v>
      </c>
      <c r="C6" s="87" t="s">
        <v>130</v>
      </c>
      <c r="D6" s="87" t="s">
        <v>148</v>
      </c>
      <c r="E6" s="87" t="s">
        <v>154</v>
      </c>
      <c r="F6" s="87" t="s">
        <v>155</v>
      </c>
      <c r="G6" s="87" t="s">
        <v>155</v>
      </c>
      <c r="H6" s="88" t="s">
        <v>156</v>
      </c>
      <c r="I6" s="88" t="s">
        <v>142</v>
      </c>
      <c r="J6" s="88" t="s">
        <v>157</v>
      </c>
      <c r="K6" s="88" t="s">
        <v>158</v>
      </c>
      <c r="L6" s="87" t="s">
        <v>159</v>
      </c>
      <c r="M6" s="87" t="s">
        <v>130</v>
      </c>
      <c r="N6" s="87" t="s">
        <v>160</v>
      </c>
      <c r="O6" s="87" t="s">
        <v>161</v>
      </c>
      <c r="P6" s="89" t="s">
        <v>162</v>
      </c>
    </row>
    <row r="7" spans="1:17">
      <c r="A7" s="84" t="s">
        <v>163</v>
      </c>
      <c r="B7" s="84" t="s">
        <v>129</v>
      </c>
      <c r="C7" s="87" t="s">
        <v>132</v>
      </c>
      <c r="D7" s="87" t="s">
        <v>139</v>
      </c>
      <c r="E7" s="87" t="s">
        <v>139</v>
      </c>
      <c r="F7" s="87" t="s">
        <v>164</v>
      </c>
      <c r="G7" s="87" t="s">
        <v>131</v>
      </c>
      <c r="H7" s="88" t="s">
        <v>165</v>
      </c>
      <c r="I7" s="88" t="s">
        <v>131</v>
      </c>
      <c r="J7" s="88" t="s">
        <v>166</v>
      </c>
      <c r="K7" s="88" t="s">
        <v>167</v>
      </c>
      <c r="L7" s="87" t="s">
        <v>168</v>
      </c>
      <c r="M7" s="87" t="s">
        <v>169</v>
      </c>
      <c r="N7" s="87" t="s">
        <v>170</v>
      </c>
      <c r="O7" s="87" t="s">
        <v>157</v>
      </c>
      <c r="P7" s="89" t="s">
        <v>139</v>
      </c>
    </row>
    <row r="8" spans="1:17">
      <c r="A8" s="84" t="s">
        <v>171</v>
      </c>
      <c r="B8" s="84" t="s">
        <v>129</v>
      </c>
      <c r="C8" s="87" t="s">
        <v>138</v>
      </c>
      <c r="D8" s="87" t="s">
        <v>170</v>
      </c>
      <c r="E8" s="87" t="s">
        <v>170</v>
      </c>
      <c r="F8" s="87" t="s">
        <v>157</v>
      </c>
      <c r="G8" s="87" t="s">
        <v>165</v>
      </c>
      <c r="H8" s="88" t="s">
        <v>172</v>
      </c>
      <c r="I8" s="88" t="s">
        <v>165</v>
      </c>
      <c r="J8" s="88" t="s">
        <v>173</v>
      </c>
      <c r="K8" s="88" t="s">
        <v>169</v>
      </c>
      <c r="L8" s="87" t="s">
        <v>174</v>
      </c>
      <c r="M8" s="87" t="s">
        <v>174</v>
      </c>
      <c r="N8" s="87" t="s">
        <v>134</v>
      </c>
      <c r="O8" s="87" t="s">
        <v>175</v>
      </c>
      <c r="P8" s="89" t="s">
        <v>132</v>
      </c>
    </row>
    <row r="9" spans="1:17">
      <c r="A9" s="84" t="s">
        <v>176</v>
      </c>
      <c r="B9" s="84" t="s">
        <v>129</v>
      </c>
      <c r="C9" s="87" t="s">
        <v>166</v>
      </c>
      <c r="D9" s="87" t="s">
        <v>132</v>
      </c>
      <c r="E9" s="87" t="s">
        <v>132</v>
      </c>
      <c r="F9" s="87" t="s">
        <v>164</v>
      </c>
      <c r="G9" s="87" t="s">
        <v>142</v>
      </c>
      <c r="H9" s="88" t="s">
        <v>165</v>
      </c>
      <c r="I9" s="88" t="s">
        <v>175</v>
      </c>
      <c r="J9" s="88" t="s">
        <v>139</v>
      </c>
      <c r="K9" s="88" t="s">
        <v>177</v>
      </c>
      <c r="L9" s="87" t="s">
        <v>168</v>
      </c>
      <c r="M9" s="87" t="s">
        <v>132</v>
      </c>
      <c r="N9" s="87" t="s">
        <v>178</v>
      </c>
      <c r="O9" s="87" t="s">
        <v>179</v>
      </c>
      <c r="P9" s="89" t="s">
        <v>139</v>
      </c>
    </row>
    <row r="10" spans="1:17">
      <c r="A10" s="84" t="s">
        <v>180</v>
      </c>
      <c r="B10" s="84" t="s">
        <v>129</v>
      </c>
      <c r="C10" s="87" t="s">
        <v>148</v>
      </c>
      <c r="D10" s="87" t="s">
        <v>181</v>
      </c>
      <c r="E10" s="87" t="s">
        <v>155</v>
      </c>
      <c r="F10" s="87" t="s">
        <v>182</v>
      </c>
      <c r="G10" s="87" t="s">
        <v>161</v>
      </c>
      <c r="H10" s="88" t="s">
        <v>131</v>
      </c>
      <c r="I10" s="88" t="s">
        <v>156</v>
      </c>
      <c r="J10" s="88" t="s">
        <v>161</v>
      </c>
      <c r="K10" s="88" t="s">
        <v>140</v>
      </c>
      <c r="L10" s="87" t="s">
        <v>158</v>
      </c>
      <c r="M10" s="87" t="s">
        <v>172</v>
      </c>
      <c r="N10" s="87" t="s">
        <v>183</v>
      </c>
      <c r="O10" s="87" t="s">
        <v>155</v>
      </c>
      <c r="P10" s="89" t="s">
        <v>162</v>
      </c>
    </row>
    <row r="11" spans="1:17">
      <c r="A11" s="84" t="s">
        <v>184</v>
      </c>
      <c r="B11" s="84" t="s">
        <v>129</v>
      </c>
      <c r="C11" s="87" t="s">
        <v>144</v>
      </c>
      <c r="D11" s="87" t="s">
        <v>185</v>
      </c>
      <c r="E11" s="87" t="s">
        <v>186</v>
      </c>
      <c r="F11" s="87" t="s">
        <v>187</v>
      </c>
      <c r="G11" s="87" t="s">
        <v>147</v>
      </c>
      <c r="H11" s="88" t="s">
        <v>160</v>
      </c>
      <c r="I11" s="88" t="s">
        <v>147</v>
      </c>
      <c r="J11" s="88" t="s">
        <v>141</v>
      </c>
      <c r="K11" s="88" t="s">
        <v>188</v>
      </c>
      <c r="L11" s="87" t="s">
        <v>185</v>
      </c>
      <c r="M11" s="87" t="s">
        <v>144</v>
      </c>
      <c r="N11" s="87" t="s">
        <v>144</v>
      </c>
      <c r="O11" s="87" t="s">
        <v>189</v>
      </c>
      <c r="P11" s="89" t="s">
        <v>190</v>
      </c>
    </row>
    <row r="12" spans="1:17">
      <c r="A12" s="84" t="s">
        <v>191</v>
      </c>
      <c r="B12" s="84" t="s">
        <v>129</v>
      </c>
      <c r="C12" s="87" t="s">
        <v>144</v>
      </c>
      <c r="D12" s="87" t="s">
        <v>144</v>
      </c>
      <c r="E12" s="87" t="s">
        <v>144</v>
      </c>
      <c r="F12" s="87" t="s">
        <v>144</v>
      </c>
      <c r="G12" s="87" t="s">
        <v>144</v>
      </c>
      <c r="H12" s="88" t="s">
        <v>144</v>
      </c>
      <c r="I12" s="88" t="s">
        <v>144</v>
      </c>
      <c r="J12" s="88" t="s">
        <v>144</v>
      </c>
      <c r="K12" s="88" t="s">
        <v>144</v>
      </c>
      <c r="L12" s="87" t="s">
        <v>144</v>
      </c>
      <c r="M12" s="87" t="s">
        <v>144</v>
      </c>
      <c r="N12" s="87" t="s">
        <v>144</v>
      </c>
      <c r="O12" s="87" t="s">
        <v>144</v>
      </c>
      <c r="P12" s="89" t="s">
        <v>144</v>
      </c>
    </row>
    <row r="15" spans="1:17">
      <c r="C15">
        <v>0.48</v>
      </c>
      <c r="D15" t="s">
        <v>131</v>
      </c>
      <c r="E15" t="s">
        <v>132</v>
      </c>
      <c r="F15" t="s">
        <v>133</v>
      </c>
      <c r="G15" t="s">
        <v>134</v>
      </c>
      <c r="H15" t="s">
        <v>135</v>
      </c>
      <c r="I15" t="s">
        <v>136</v>
      </c>
      <c r="J15" t="s">
        <v>137</v>
      </c>
      <c r="K15" t="s">
        <v>138</v>
      </c>
      <c r="L15" t="s">
        <v>139</v>
      </c>
      <c r="M15" t="s">
        <v>140</v>
      </c>
      <c r="N15" t="s">
        <v>141</v>
      </c>
      <c r="O15" t="s">
        <v>135</v>
      </c>
      <c r="P15" t="s">
        <v>142</v>
      </c>
    </row>
    <row r="16" spans="1:17">
      <c r="C16" t="s">
        <v>144</v>
      </c>
      <c r="D16" t="s">
        <v>144</v>
      </c>
      <c r="E16" t="s">
        <v>145</v>
      </c>
      <c r="F16" t="s">
        <v>146</v>
      </c>
      <c r="G16" t="s">
        <v>147</v>
      </c>
      <c r="H16" t="s">
        <v>148</v>
      </c>
      <c r="I16" t="s">
        <v>149</v>
      </c>
      <c r="J16" t="s">
        <v>147</v>
      </c>
      <c r="K16" t="s">
        <v>150</v>
      </c>
      <c r="L16" t="s">
        <v>151</v>
      </c>
      <c r="M16" t="s">
        <v>144</v>
      </c>
      <c r="N16" t="s">
        <v>144</v>
      </c>
      <c r="O16" t="s">
        <v>152</v>
      </c>
      <c r="P16" t="s">
        <v>145</v>
      </c>
    </row>
    <row r="17" spans="3:16">
      <c r="C17" t="s">
        <v>130</v>
      </c>
      <c r="D17" t="s">
        <v>148</v>
      </c>
      <c r="E17" t="s">
        <v>154</v>
      </c>
      <c r="F17" t="s">
        <v>155</v>
      </c>
      <c r="G17" t="s">
        <v>155</v>
      </c>
      <c r="H17" t="s">
        <v>156</v>
      </c>
      <c r="I17" t="s">
        <v>142</v>
      </c>
      <c r="J17" t="s">
        <v>157</v>
      </c>
      <c r="K17" t="s">
        <v>158</v>
      </c>
      <c r="L17" t="s">
        <v>159</v>
      </c>
      <c r="M17" t="s">
        <v>130</v>
      </c>
      <c r="N17" t="s">
        <v>160</v>
      </c>
      <c r="O17" t="s">
        <v>161</v>
      </c>
      <c r="P17" t="s">
        <v>162</v>
      </c>
    </row>
    <row r="18" spans="3:16">
      <c r="C18" t="s">
        <v>132</v>
      </c>
      <c r="D18" t="s">
        <v>139</v>
      </c>
      <c r="E18" t="s">
        <v>139</v>
      </c>
      <c r="F18" t="s">
        <v>164</v>
      </c>
      <c r="G18" t="s">
        <v>131</v>
      </c>
      <c r="H18" t="s">
        <v>165</v>
      </c>
      <c r="I18" t="s">
        <v>131</v>
      </c>
      <c r="J18" t="s">
        <v>166</v>
      </c>
      <c r="K18" t="s">
        <v>167</v>
      </c>
      <c r="L18" t="s">
        <v>168</v>
      </c>
      <c r="M18" t="s">
        <v>169</v>
      </c>
      <c r="N18" t="s">
        <v>170</v>
      </c>
      <c r="O18" t="s">
        <v>157</v>
      </c>
      <c r="P18" t="s">
        <v>139</v>
      </c>
    </row>
    <row r="19" spans="3:16">
      <c r="C19" t="s">
        <v>138</v>
      </c>
      <c r="D19" t="s">
        <v>170</v>
      </c>
      <c r="E19" t="s">
        <v>170</v>
      </c>
      <c r="F19" t="s">
        <v>157</v>
      </c>
      <c r="G19" t="s">
        <v>165</v>
      </c>
      <c r="H19" t="s">
        <v>172</v>
      </c>
      <c r="I19" t="s">
        <v>165</v>
      </c>
      <c r="J19" t="s">
        <v>173</v>
      </c>
      <c r="K19" t="s">
        <v>169</v>
      </c>
      <c r="L19" t="s">
        <v>174</v>
      </c>
      <c r="M19" t="s">
        <v>174</v>
      </c>
      <c r="N19" t="s">
        <v>134</v>
      </c>
      <c r="O19" t="s">
        <v>175</v>
      </c>
      <c r="P19" t="s">
        <v>132</v>
      </c>
    </row>
    <row r="20" spans="3:16">
      <c r="C20" t="s">
        <v>166</v>
      </c>
      <c r="D20" t="s">
        <v>132</v>
      </c>
      <c r="E20" t="s">
        <v>132</v>
      </c>
      <c r="F20" t="s">
        <v>164</v>
      </c>
      <c r="G20" t="s">
        <v>142</v>
      </c>
      <c r="H20" t="s">
        <v>165</v>
      </c>
      <c r="I20" t="s">
        <v>175</v>
      </c>
      <c r="J20" t="s">
        <v>139</v>
      </c>
      <c r="K20" t="s">
        <v>177</v>
      </c>
      <c r="L20" t="s">
        <v>168</v>
      </c>
      <c r="M20" t="s">
        <v>132</v>
      </c>
      <c r="N20" t="s">
        <v>178</v>
      </c>
      <c r="O20" t="s">
        <v>179</v>
      </c>
      <c r="P20" t="s">
        <v>139</v>
      </c>
    </row>
    <row r="21" spans="3:16">
      <c r="C21" t="s">
        <v>148</v>
      </c>
      <c r="D21" t="s">
        <v>181</v>
      </c>
      <c r="E21" t="s">
        <v>155</v>
      </c>
      <c r="F21" t="s">
        <v>182</v>
      </c>
      <c r="G21" t="s">
        <v>161</v>
      </c>
      <c r="H21" t="s">
        <v>131</v>
      </c>
      <c r="I21" t="s">
        <v>156</v>
      </c>
      <c r="J21" t="s">
        <v>161</v>
      </c>
      <c r="K21" t="s">
        <v>140</v>
      </c>
      <c r="L21" t="s">
        <v>158</v>
      </c>
      <c r="M21" t="s">
        <v>172</v>
      </c>
      <c r="N21" t="s">
        <v>183</v>
      </c>
      <c r="O21" t="s">
        <v>155</v>
      </c>
      <c r="P21" t="s">
        <v>162</v>
      </c>
    </row>
    <row r="22" spans="3:16">
      <c r="C22" t="s">
        <v>144</v>
      </c>
      <c r="D22" t="s">
        <v>185</v>
      </c>
      <c r="E22" t="s">
        <v>186</v>
      </c>
      <c r="F22" t="s">
        <v>187</v>
      </c>
      <c r="G22" t="s">
        <v>147</v>
      </c>
      <c r="H22" t="s">
        <v>160</v>
      </c>
      <c r="I22" t="s">
        <v>147</v>
      </c>
      <c r="J22" t="s">
        <v>141</v>
      </c>
      <c r="K22" t="s">
        <v>188</v>
      </c>
      <c r="L22" t="s">
        <v>185</v>
      </c>
      <c r="M22" t="s">
        <v>144</v>
      </c>
      <c r="N22" t="s">
        <v>144</v>
      </c>
      <c r="O22" t="s">
        <v>189</v>
      </c>
      <c r="P22" t="s">
        <v>190</v>
      </c>
    </row>
    <row r="23" spans="3:16">
      <c r="C23" t="s">
        <v>144</v>
      </c>
      <c r="D23" t="s">
        <v>144</v>
      </c>
      <c r="E23" t="s">
        <v>144</v>
      </c>
      <c r="F23" t="s">
        <v>144</v>
      </c>
      <c r="G23" t="s">
        <v>144</v>
      </c>
      <c r="H23" t="s">
        <v>144</v>
      </c>
      <c r="I23" t="s">
        <v>144</v>
      </c>
      <c r="J23" t="s">
        <v>144</v>
      </c>
      <c r="K23" t="s">
        <v>144</v>
      </c>
      <c r="L23" t="s">
        <v>144</v>
      </c>
      <c r="M23" t="s">
        <v>144</v>
      </c>
      <c r="N23" t="s">
        <v>144</v>
      </c>
      <c r="O23" t="s">
        <v>144</v>
      </c>
      <c r="P23" t="s">
        <v>144</v>
      </c>
    </row>
    <row r="26" spans="3:16">
      <c r="C26" s="8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Geometria</vt:lpstr>
      <vt:lpstr>Refri</vt:lpstr>
      <vt:lpstr>K_global</vt:lpstr>
      <vt:lpstr>q_sol;jul</vt:lpstr>
      <vt:lpstr>tabla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Tomas Gonzalez</cp:lastModifiedBy>
  <dcterms:created xsi:type="dcterms:W3CDTF">2015-06-05T18:17:20Z</dcterms:created>
  <dcterms:modified xsi:type="dcterms:W3CDTF">2025-11-25T16:57:52Z</dcterms:modified>
</cp:coreProperties>
</file>