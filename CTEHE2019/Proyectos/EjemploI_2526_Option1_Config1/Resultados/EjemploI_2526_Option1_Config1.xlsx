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ProyectosCTEyCEE\CTEHE2019\Proyectos\EjemploI_2526_Option1_Config1\Resultados\"/>
    </mc:Choice>
  </mc:AlternateContent>
  <xr:revisionPtr revIDLastSave="0" documentId="13_ncr:1_{566EDB79-43F4-431C-82E1-6229EB751921}" xr6:coauthVersionLast="47" xr6:coauthVersionMax="47" xr10:uidLastSave="{00000000-0000-0000-0000-000000000000}"/>
  <bookViews>
    <workbookView xWindow="20544" yWindow="180" windowWidth="24888" windowHeight="24960" activeTab="1" xr2:uid="{00000000-000D-0000-FFFF-FFFF00000000}"/>
  </bookViews>
  <sheets>
    <sheet name="K_global" sheetId="1" r:id="rId1"/>
    <sheet name="q_sol;ju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4" i="2" l="1"/>
  <c r="AB5" i="2"/>
  <c r="AC5" i="2"/>
  <c r="AB6" i="2"/>
  <c r="AC6" i="2"/>
  <c r="AB7" i="2"/>
  <c r="AC7" i="2"/>
  <c r="AB8" i="2"/>
  <c r="AC8" i="2"/>
  <c r="AC4" i="2"/>
  <c r="AA4" i="2"/>
  <c r="AA5" i="2"/>
  <c r="AA6" i="2"/>
  <c r="AA7" i="2"/>
  <c r="AA8" i="2"/>
  <c r="Z5" i="2"/>
  <c r="Z6" i="2"/>
  <c r="Z7" i="2"/>
  <c r="Z8" i="2"/>
  <c r="Z4" i="2"/>
  <c r="Y5" i="2"/>
  <c r="Y6" i="2"/>
  <c r="Y7" i="2"/>
  <c r="Y8" i="2"/>
  <c r="Y4" i="2"/>
  <c r="M9" i="2"/>
  <c r="M5" i="2"/>
  <c r="M6" i="2"/>
  <c r="E53" i="1"/>
  <c r="D53" i="1"/>
  <c r="F49" i="1"/>
  <c r="G49" i="1"/>
  <c r="H49" i="1"/>
</calcChain>
</file>

<file path=xl/sharedStrings.xml><?xml version="1.0" encoding="utf-8"?>
<sst xmlns="http://schemas.openxmlformats.org/spreadsheetml/2006/main" count="211" uniqueCount="109">
  <si>
    <t>Código  del elemento</t>
  </si>
  <si>
    <t>Tipo  de Contacto</t>
  </si>
  <si>
    <t>Descripción</t>
  </si>
  <si>
    <r>
      <t xml:space="preserve">¿ </t>
    </r>
    <r>
      <rPr>
        <b/>
        <sz val="7"/>
        <color indexed="9"/>
        <rFont val="Symbol"/>
        <family val="1"/>
        <charset val="204"/>
      </rPr>
      <t></t>
    </r>
    <r>
      <rPr>
        <sz val="7"/>
        <color indexed="9"/>
        <rFont val="Times New Roman"/>
        <family val="1"/>
        <charset val="204"/>
      </rPr>
      <t xml:space="preserve"> </t>
    </r>
    <r>
      <rPr>
        <sz val="7"/>
        <color indexed="9"/>
        <rFont val="Swis721 Lt BT"/>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ET=0</t>
    </r>
  </si>
  <si>
    <t>Contacto EXTERIOR  o
TERRENO
( btr,x)
SI=1 N0=0</t>
  </si>
  <si>
    <t>Sup. Parte OPACA ( m 2)</t>
  </si>
  <si>
    <t>Sup.
HUECO  ( m 2)</t>
  </si>
  <si>
    <t>Sup. E.T. en contacto
EXTERIOR  o TERRENO (m2)</t>
  </si>
  <si>
    <t>U
W/ m2K</t>
  </si>
  <si>
    <r>
      <t xml:space="preserve">U </t>
    </r>
    <r>
      <rPr>
        <sz val="6"/>
        <color indexed="9"/>
        <rFont val="Swis721 Lt BT"/>
        <family val="1"/>
        <charset val="204"/>
      </rPr>
      <t xml:space="preserve">x  Área
</t>
    </r>
    <r>
      <rPr>
        <sz val="7"/>
        <color indexed="9"/>
        <rFont val="Swis721 Lt BT"/>
        <family val="1"/>
        <charset val="204"/>
      </rPr>
      <t>W/ K</t>
    </r>
  </si>
  <si>
    <t>TOTALES PLANTA 01</t>
  </si>
  <si>
    <t>PLANTA BAJA. P02</t>
  </si>
  <si>
    <t>M2.N1</t>
  </si>
  <si>
    <t>EXTERIOR</t>
  </si>
  <si>
    <t>H2-N1</t>
  </si>
  <si>
    <t>VENTANA</t>
  </si>
  <si>
    <t>M2.E1</t>
  </si>
  <si>
    <t>H2-E1</t>
  </si>
  <si>
    <t>M2.S1</t>
  </si>
  <si>
    <t>H2-S1</t>
  </si>
  <si>
    <t>M2.O1</t>
  </si>
  <si>
    <t>H2-O1</t>
  </si>
  <si>
    <t>PUERTA</t>
  </si>
  <si>
    <t>H2-O2</t>
  </si>
  <si>
    <t>F2.1</t>
  </si>
  <si>
    <t>NH</t>
  </si>
  <si>
    <t>SUELO</t>
  </si>
  <si>
    <t>-</t>
  </si>
  <si>
    <t>F3.1</t>
  </si>
  <si>
    <t>TECHO</t>
  </si>
  <si>
    <t>TOTALES PLANTA 02</t>
  </si>
  <si>
    <t>PLANTA BAJOCUBIERTA. P03</t>
  </si>
  <si>
    <t>C3-N1</t>
  </si>
  <si>
    <t>CUBIERTA</t>
  </si>
  <si>
    <t>C3-E1</t>
  </si>
  <si>
    <t>C3-S1</t>
  </si>
  <si>
    <t>C3-O1</t>
  </si>
  <si>
    <t>TOTALES PLANTA 03</t>
  </si>
  <si>
    <t>TOTALES EDIFICIO</t>
  </si>
  <si>
    <t>P   U   E   N   T   E   S     T   É   R  M   I   C   O   S</t>
  </si>
  <si>
    <t>Definición</t>
  </si>
  <si>
    <r>
      <t xml:space="preserve">Ψ
T. lineal
</t>
    </r>
    <r>
      <rPr>
        <sz val="7"/>
        <color indexed="9"/>
        <rFont val="Swis721 Lt BT"/>
        <family val="1"/>
        <charset val="204"/>
      </rPr>
      <t>W/ m·K</t>
    </r>
  </si>
  <si>
    <t>Longitud L(m)</t>
  </si>
  <si>
    <r>
      <t xml:space="preserve">Ψ  </t>
    </r>
    <r>
      <rPr>
        <sz val="7"/>
        <color indexed="9"/>
        <rFont val="Swis721 Lt BT"/>
        <family val="1"/>
        <charset val="204"/>
      </rPr>
      <t>x  L W/ K</t>
    </r>
  </si>
  <si>
    <t>Frente forjados</t>
  </si>
  <si>
    <t>Cubiertas planas</t>
  </si>
  <si>
    <t>Esquinas exteriores</t>
  </si>
  <si>
    <t>Esquinas interiores</t>
  </si>
  <si>
    <t>Forjado int contacto aire</t>
  </si>
  <si>
    <t>Alfeizar</t>
  </si>
  <si>
    <t>Dinteles/capialzados</t>
  </si>
  <si>
    <t>Jambas</t>
  </si>
  <si>
    <t>Pilares</t>
  </si>
  <si>
    <t>Suelos con terreno</t>
  </si>
  <si>
    <t>PLANTA CÁMARA SANITARIA. P01
La planta 01 correspondiente al nivel de cámara sanitaria. no se incluye en ninguna de las opciones dentro de la envolvente térmica por lo que no se detallan en la tabla las características de sus cerramientos.</t>
  </si>
  <si>
    <t>M. FACHADA</t>
  </si>
  <si>
    <t>99.40             28.60             128.00</t>
  </si>
  <si>
    <t>CÁLCULO</t>
  </si>
  <si>
    <t>C   O   M</t>
  </si>
  <si>
    <t>P   R   O   B   A   C   I   Ó   N          K</t>
  </si>
  <si>
    <t>K
EDIFICIO</t>
  </si>
  <si>
    <r>
      <t>K</t>
    </r>
    <r>
      <rPr>
        <sz val="6"/>
        <color indexed="9"/>
        <rFont val="Swis721 Lt BT"/>
        <family val="1"/>
        <charset val="204"/>
      </rPr>
      <t>lim</t>
    </r>
  </si>
  <si>
    <r>
      <t xml:space="preserve">Cumplimiento
</t>
    </r>
    <r>
      <rPr>
        <i/>
        <sz val="7"/>
        <color indexed="9"/>
        <rFont val="Swis721 Lt BT"/>
        <family val="1"/>
        <charset val="204"/>
      </rPr>
      <t>Valores l imite</t>
    </r>
  </si>
  <si>
    <t>NO CUMPLE</t>
  </si>
  <si>
    <t>DATOS PREVIOS
COMPACIDAD DEL EDIFICIO:                            2.00</t>
  </si>
  <si>
    <t>K= Σx Hx / Aint = Σx btr.x [ Σi Ax.i Ux.i + Σk lx k ψx. k +
Σj xx. j ] / Σx Σi btr.x Ax.i</t>
  </si>
  <si>
    <t>K=(56.80+18.02)/128 = 0.585</t>
  </si>
  <si>
    <t>0 .58</t>
  </si>
  <si>
    <t>0 .49</t>
  </si>
  <si>
    <t>Psi wavg</t>
  </si>
  <si>
    <t>Có digo del
elemento</t>
  </si>
  <si>
    <t>Descr ipció n</t>
  </si>
  <si>
    <t>ORI E N T A C I ÓN</t>
  </si>
  <si>
    <t>S up. H U E C O
(m2 )</t>
  </si>
  <si>
    <t>Frac c ión de
marc o e n  tanto por uno</t>
  </si>
  <si>
    <r>
      <t>R ad. so lar plano
v idr io sin o bstáculo s (*)
H</t>
    </r>
    <r>
      <rPr>
        <sz val="5"/>
        <color indexed="9"/>
        <rFont val="Swis721 Lt BT"/>
        <family val="1"/>
        <charset val="204"/>
      </rPr>
      <t xml:space="preserve">sol ;j ul
</t>
    </r>
    <r>
      <rPr>
        <sz val="7"/>
        <color indexed="9"/>
        <rFont val="Swis721 Lt BT"/>
        <family val="1"/>
        <charset val="204"/>
      </rPr>
      <t>( K Wh/ m2)</t>
    </r>
  </si>
  <si>
    <t>g_gl;wi</t>
  </si>
  <si>
    <t>Ganancia So lar de J ulio a
tr av és del hueco
( K Wh/ m2)</t>
  </si>
  <si>
    <t>Ganancia so lar TOTAL de J ulio a
tr av és del hueco
( K Wh)</t>
  </si>
  <si>
    <t>VENTANA TIPO NORTE</t>
  </si>
  <si>
    <t>NORTE</t>
  </si>
  <si>
    <t>VENTANA TIPO ESTE</t>
  </si>
  <si>
    <t>ESTE</t>
  </si>
  <si>
    <t>VENTANA TIPO SUR</t>
  </si>
  <si>
    <t>SUR</t>
  </si>
  <si>
    <t>PUERTA TIPO OESTE</t>
  </si>
  <si>
    <t>OESTE</t>
  </si>
  <si>
    <t>VENTANA TIPO OESTE</t>
  </si>
  <si>
    <t>g_gl;sh.wi</t>
  </si>
  <si>
    <t>F_gl;sh.o bst</t>
  </si>
  <si>
    <t>PLANTA CÁMARA SANITARIA. P01
La planta 01 correspondiente al nivel de cámara sanitaria. no incluye ningún hueco por lo que no se detalla en la tabla.</t>
  </si>
  <si>
    <t>La planta 03  correspondiente al nivel bajocubierta. no incluye ningún hueco por lo que no se detalla en la tabla.</t>
  </si>
  <si>
    <t>F_sh;obst</t>
  </si>
  <si>
    <t>I should have less obstruction</t>
  </si>
  <si>
    <t>P02_E01_PE001_V</t>
  </si>
  <si>
    <t>P02_E01_PE002_V</t>
  </si>
  <si>
    <t>P02_E01_PE003_V</t>
  </si>
  <si>
    <t>P02_E01_PE004_V</t>
  </si>
  <si>
    <t>P02_E01_PE004_V2</t>
  </si>
  <si>
    <t>KyGananciasSolares</t>
  </si>
  <si>
    <t>Radiación solar global en el plano del vidrio sin obstáculos (Wh/m2)</t>
  </si>
  <si>
    <t>Radiación solar global en el plano del vidrio tras obstaculos remotos (Wh/m2)</t>
  </si>
  <si>
    <t>Radiación solar global en el plano del vidrio tras obstaculos de fachada (voladizos, retranqueos, ...) (Wh/m2)</t>
  </si>
  <si>
    <t>Radiación solar global en el plano del vidrio tras sombras por lamas (Wh/m2)</t>
  </si>
  <si>
    <t>Ganancia Solar a través de este hueco (Wh/m2)</t>
  </si>
  <si>
    <t>F sombras remotas</t>
  </si>
  <si>
    <t>F obstaculos fachada</t>
  </si>
  <si>
    <t>F lamas</t>
  </si>
  <si>
    <t>F marco*persianas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</si>
</sst>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9" formatCode="_(* #,##0_);_(* \(#,##0\);_(* &quot;-&quot;??_);_(@_)"/>
    <numFmt numFmtId="170" formatCode="_(* #,##0.000_);_(* \(#,##0.000\);_(* &quot;-&quot;??_);_(@_)"/>
  </numFmts>
  <fonts count="30">
    <font>
      <sz val="11"/>
      <color theme="1"/>
      <name val="Calibri"/>
      <family val="2"/>
      <scheme val="minor"/>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b/>
      <sz val="11"/>
      <color theme="1"/>
      <name val="Calibri"/>
      <family val="2"/>
      <scheme val="minor"/>
    </font>
    <font>
      <sz val="10"/>
      <name val="Times New Roman"/>
      <family val="1"/>
      <charset val="204"/>
    </font>
    <font>
      <sz val="7"/>
      <color indexed="8"/>
      <name val="Arial"/>
      <family val="2"/>
    </font>
    <font>
      <sz val="7"/>
      <color indexed="9"/>
      <name val="Swis721 Lt BT"/>
      <family val="2"/>
    </font>
    <font>
      <b/>
      <sz val="7"/>
      <color indexed="9"/>
      <name val="Symbol"/>
      <family val="1"/>
      <charset val="204"/>
    </font>
    <font>
      <sz val="7"/>
      <color indexed="9"/>
      <name val="Times New Roman"/>
      <family val="1"/>
      <charset val="204"/>
    </font>
    <font>
      <sz val="7"/>
      <color indexed="9"/>
      <name val="Swis721 Lt BT"/>
      <family val="1"/>
      <charset val="204"/>
    </font>
    <font>
      <b/>
      <sz val="8"/>
      <color indexed="9"/>
      <name val="Symbol"/>
      <family val="1"/>
      <charset val="204"/>
    </font>
    <font>
      <sz val="8"/>
      <color indexed="9"/>
      <name val="Times New Roman"/>
      <family val="1"/>
      <charset val="204"/>
    </font>
    <font>
      <sz val="6"/>
      <color indexed="9"/>
      <name val="Swis721 Lt BT"/>
      <family val="1"/>
      <charset val="204"/>
    </font>
    <font>
      <sz val="9"/>
      <color indexed="9"/>
      <name val="Swis721 Lt BT"/>
      <family val="1"/>
      <charset val="204"/>
    </font>
    <font>
      <sz val="7"/>
      <color indexed="8"/>
      <name val="Swis721 Lt BT"/>
      <family val="1"/>
      <charset val="204"/>
    </font>
    <font>
      <sz val="7"/>
      <color indexed="8"/>
      <name val="Swis721 Lt BT"/>
      <family val="2"/>
    </font>
    <font>
      <sz val="7"/>
      <color indexed="9"/>
      <name val="Arial Black"/>
      <family val="2"/>
    </font>
    <font>
      <b/>
      <sz val="7"/>
      <color indexed="9"/>
      <name val="Arial"/>
      <family val="2"/>
    </font>
    <font>
      <b/>
      <sz val="7"/>
      <color indexed="9"/>
      <name val="Arial"/>
      <family val="1"/>
      <charset val="204"/>
    </font>
    <font>
      <b/>
      <sz val="7"/>
      <color indexed="9"/>
      <name val="Calibri"/>
      <family val="1"/>
      <charset val="204"/>
    </font>
    <font>
      <i/>
      <sz val="7"/>
      <color indexed="9"/>
      <name val="Swis721 Lt BT"/>
      <family val="1"/>
      <charset val="204"/>
    </font>
    <font>
      <sz val="9"/>
      <color indexed="8"/>
      <name val="Swis721 Lt BT"/>
      <family val="2"/>
    </font>
    <font>
      <sz val="9"/>
      <color indexed="9"/>
      <name val="Arial Black"/>
      <family val="2"/>
    </font>
    <font>
      <sz val="5"/>
      <color indexed="9"/>
      <name val="Swis721 Lt BT"/>
      <family val="1"/>
      <charset val="204"/>
    </font>
    <font>
      <sz val="8"/>
      <color indexed="8"/>
      <name val="Swis721 Lt BT"/>
      <family val="1"/>
      <charset val="204"/>
    </font>
    <font>
      <sz val="8"/>
      <color indexed="8"/>
      <name val="Swis721 Lt BT"/>
      <family val="2"/>
    </font>
    <font>
      <sz val="8"/>
      <color indexed="9"/>
      <name val="Arial Black"/>
      <family val="2"/>
    </font>
    <font>
      <b/>
      <sz val="8"/>
      <color indexed="9"/>
      <name val="Arial"/>
      <family val="2"/>
    </font>
  </fonts>
  <fills count="16">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585858"/>
        <bgColor indexed="64"/>
      </patternFill>
    </fill>
    <fill>
      <patternFill patternType="solid">
        <fgColor rgb="FFDDD9C4"/>
        <bgColor indexed="64"/>
      </patternFill>
    </fill>
    <fill>
      <patternFill patternType="solid">
        <fgColor rgb="FFF1DCDB"/>
        <bgColor indexed="64"/>
      </patternFill>
    </fill>
    <fill>
      <patternFill patternType="solid">
        <fgColor rgb="FFDA9593"/>
        <bgColor indexed="64"/>
      </patternFill>
    </fill>
    <fill>
      <patternFill patternType="solid">
        <fgColor rgb="FFC4BC96"/>
        <bgColor indexed="64"/>
      </patternFill>
    </fill>
    <fill>
      <patternFill patternType="solid">
        <fgColor rgb="FF938953"/>
        <bgColor indexed="64"/>
      </patternFill>
    </fill>
    <fill>
      <patternFill patternType="solid">
        <fgColor rgb="FFFFCC99"/>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DAEDF3"/>
        <bgColor indexed="64"/>
      </patternFill>
    </fill>
  </fills>
  <borders count="2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style="thin">
        <color rgb="FFD9D9D9"/>
      </left>
      <right style="thin">
        <color rgb="FFD9D9D9"/>
      </right>
      <top style="thin">
        <color rgb="FFD9D9D9"/>
      </top>
      <bottom style="thin">
        <color rgb="FFD9D9D9"/>
      </bottom>
      <diagonal/>
    </border>
    <border>
      <left/>
      <right style="thin">
        <color rgb="FFFFFFFF"/>
      </right>
      <top/>
      <bottom style="thin">
        <color rgb="FFD9D9D9"/>
      </bottom>
      <diagonal/>
    </border>
    <border>
      <left/>
      <right/>
      <top/>
      <bottom style="thin">
        <color rgb="FFD9D9D9"/>
      </bottom>
      <diagonal/>
    </border>
    <border>
      <left style="thin">
        <color rgb="FFFFFFFF"/>
      </left>
      <right style="thin">
        <color rgb="FFFFFFFF"/>
      </right>
      <top/>
      <bottom style="thin">
        <color rgb="FFD9D9D9"/>
      </bottom>
      <diagonal/>
    </border>
    <border>
      <left style="thin">
        <color rgb="FFFFFFFF"/>
      </left>
      <right/>
      <top/>
      <bottom style="thin">
        <color rgb="FFD9D9D9"/>
      </bottom>
      <diagonal/>
    </border>
    <border>
      <left style="thin">
        <color rgb="FFD9D9D9"/>
      </left>
      <right/>
      <top style="thin">
        <color rgb="FFD9D9D9"/>
      </top>
      <bottom/>
      <diagonal/>
    </border>
    <border>
      <left/>
      <right/>
      <top style="thin">
        <color rgb="FFD9D9D9"/>
      </top>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diagonal/>
    </border>
    <border>
      <left/>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top/>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4" fillId="4" borderId="2" applyNumberFormat="0" applyAlignment="0" applyProtection="0"/>
  </cellStyleXfs>
  <cellXfs count="78">
    <xf numFmtId="0" fontId="0" fillId="0" borderId="0" xfId="0"/>
    <xf numFmtId="0" fontId="8" fillId="5" borderId="3" xfId="0" applyFont="1" applyFill="1" applyBorder="1" applyAlignment="1">
      <alignment horizontal="left" vertical="top" wrapText="1"/>
    </xf>
    <xf numFmtId="0" fontId="8" fillId="5" borderId="4" xfId="0" applyFont="1" applyFill="1" applyBorder="1" applyAlignment="1">
      <alignment horizontal="left" vertical="top" wrapText="1" indent="1"/>
    </xf>
    <xf numFmtId="0" fontId="8" fillId="5" borderId="4" xfId="0" applyFont="1" applyFill="1" applyBorder="1" applyAlignment="1">
      <alignment horizontal="center" vertical="center" wrapText="1"/>
    </xf>
    <xf numFmtId="0" fontId="11" fillId="5" borderId="4" xfId="0" applyFont="1" applyFill="1" applyBorder="1" applyAlignment="1">
      <alignment horizontal="left" vertical="top" wrapText="1"/>
    </xf>
    <xf numFmtId="0" fontId="8" fillId="5" borderId="4" xfId="0" applyFont="1" applyFill="1" applyBorder="1" applyAlignment="1">
      <alignment horizontal="left" vertical="top" wrapText="1"/>
    </xf>
    <xf numFmtId="0" fontId="11" fillId="5" borderId="4" xfId="0" applyFont="1" applyFill="1" applyBorder="1" applyAlignment="1">
      <alignment horizontal="center" vertical="top" wrapText="1"/>
    </xf>
    <xf numFmtId="0" fontId="15" fillId="5" borderId="4" xfId="0" applyFont="1" applyFill="1" applyBorder="1" applyAlignment="1">
      <alignment horizontal="center" vertical="top" wrapText="1"/>
    </xf>
    <xf numFmtId="0" fontId="6" fillId="0" borderId="0" xfId="0" applyFont="1" applyAlignment="1">
      <alignment horizontal="left" vertical="top" wrapText="1"/>
    </xf>
    <xf numFmtId="0" fontId="16" fillId="0" borderId="0" xfId="0" applyFont="1" applyAlignment="1">
      <alignment horizontal="left" vertical="top" wrapText="1"/>
    </xf>
    <xf numFmtId="0" fontId="17" fillId="6" borderId="0" xfId="0" applyFont="1" applyFill="1" applyAlignment="1">
      <alignment horizontal="left" vertical="top" wrapText="1"/>
    </xf>
    <xf numFmtId="0" fontId="6" fillId="0" borderId="0" xfId="0" applyFont="1" applyAlignment="1">
      <alignment horizontal="left" wrapText="1"/>
    </xf>
    <xf numFmtId="0" fontId="17" fillId="0" borderId="0" xfId="0" applyFont="1" applyAlignment="1">
      <alignment horizontal="left" vertical="center" wrapText="1"/>
    </xf>
    <xf numFmtId="0" fontId="17" fillId="7" borderId="5" xfId="0" applyFont="1" applyFill="1" applyBorder="1" applyAlignment="1">
      <alignment horizontal="center" vertical="top" wrapText="1"/>
    </xf>
    <xf numFmtId="1" fontId="7" fillId="7" borderId="5" xfId="0" applyNumberFormat="1" applyFont="1" applyFill="1" applyBorder="1" applyAlignment="1">
      <alignment horizontal="center" vertical="top" shrinkToFit="1"/>
    </xf>
    <xf numFmtId="0" fontId="6" fillId="7" borderId="5" xfId="0" applyFont="1" applyFill="1" applyBorder="1" applyAlignment="1">
      <alignment horizontal="left" vertical="center" wrapText="1"/>
    </xf>
    <xf numFmtId="0" fontId="17" fillId="8" borderId="5" xfId="0" applyFont="1" applyFill="1" applyBorder="1" applyAlignment="1">
      <alignment horizontal="center" vertical="top" wrapText="1"/>
    </xf>
    <xf numFmtId="0" fontId="6" fillId="7" borderId="5" xfId="0" applyFont="1" applyFill="1" applyBorder="1" applyAlignment="1">
      <alignment horizontal="left" wrapText="1"/>
    </xf>
    <xf numFmtId="0" fontId="6" fillId="0" borderId="5" xfId="0" applyFont="1" applyBorder="1" applyAlignment="1">
      <alignment horizontal="left" vertical="center" wrapText="1"/>
    </xf>
    <xf numFmtId="0" fontId="17" fillId="0" borderId="5" xfId="0" applyFont="1" applyBorder="1" applyAlignment="1">
      <alignment horizontal="center" vertical="top" wrapText="1"/>
    </xf>
    <xf numFmtId="1" fontId="7" fillId="0" borderId="5" xfId="0" applyNumberFormat="1" applyFont="1" applyBorder="1" applyAlignment="1">
      <alignment horizontal="center" vertical="top" shrinkToFit="1"/>
    </xf>
    <xf numFmtId="0" fontId="17" fillId="9" borderId="0" xfId="0" applyFont="1" applyFill="1" applyAlignment="1">
      <alignment horizontal="left" vertical="top" wrapText="1" indent="1"/>
    </xf>
    <xf numFmtId="0" fontId="6" fillId="6" borderId="0" xfId="0" applyFont="1" applyFill="1" applyAlignment="1">
      <alignment horizontal="left" wrapText="1"/>
    </xf>
    <xf numFmtId="0" fontId="17" fillId="9" borderId="0" xfId="0" applyFont="1" applyFill="1" applyAlignment="1">
      <alignment horizontal="center" vertical="top" wrapText="1"/>
    </xf>
    <xf numFmtId="0" fontId="6" fillId="9" borderId="0" xfId="0" applyFont="1" applyFill="1" applyAlignment="1">
      <alignment horizontal="left" wrapText="1"/>
    </xf>
    <xf numFmtId="0" fontId="6" fillId="0" borderId="0" xfId="0" applyFont="1" applyAlignment="1">
      <alignment horizontal="left" wrapText="1"/>
    </xf>
    <xf numFmtId="0" fontId="18" fillId="9" borderId="0" xfId="0" applyFont="1" applyFill="1" applyAlignment="1">
      <alignment horizontal="left" vertical="top" wrapText="1"/>
    </xf>
    <xf numFmtId="0" fontId="19" fillId="10" borderId="0" xfId="0" applyFont="1" applyFill="1" applyAlignment="1">
      <alignment horizontal="center" vertical="top" wrapText="1"/>
    </xf>
    <xf numFmtId="0" fontId="18" fillId="10" borderId="0" xfId="0" applyFont="1" applyFill="1" applyAlignment="1">
      <alignment horizontal="center" vertical="top" wrapText="1"/>
    </xf>
    <xf numFmtId="0" fontId="17" fillId="11" borderId="0" xfId="0" applyFont="1" applyFill="1" applyAlignment="1">
      <alignment horizontal="left" vertical="top" wrapText="1" indent="5"/>
    </xf>
    <xf numFmtId="0" fontId="8" fillId="5" borderId="6" xfId="0" applyFont="1" applyFill="1" applyBorder="1" applyAlignment="1">
      <alignment horizontal="left" vertical="top" wrapText="1" indent="3"/>
    </xf>
    <xf numFmtId="0" fontId="8" fillId="5" borderId="7" xfId="0" applyFont="1" applyFill="1" applyBorder="1" applyAlignment="1">
      <alignment horizontal="left" vertical="top" wrapText="1" indent="3"/>
    </xf>
    <xf numFmtId="0" fontId="20" fillId="5" borderId="8" xfId="0" applyFont="1" applyFill="1" applyBorder="1" applyAlignment="1">
      <alignment horizontal="center" vertical="top" wrapText="1"/>
    </xf>
    <xf numFmtId="0" fontId="8" fillId="5" borderId="8" xfId="0" applyFont="1" applyFill="1" applyBorder="1" applyAlignment="1">
      <alignment horizontal="left" vertical="top" wrapText="1"/>
    </xf>
    <xf numFmtId="0" fontId="21" fillId="5" borderId="9" xfId="0" applyFont="1" applyFill="1" applyBorder="1" applyAlignment="1">
      <alignment horizontal="left" vertical="top" wrapText="1" indent="1"/>
    </xf>
    <xf numFmtId="0" fontId="17" fillId="7" borderId="12" xfId="0" applyFont="1" applyFill="1" applyBorder="1" applyAlignment="1">
      <alignment horizontal="left" vertical="top" wrapText="1"/>
    </xf>
    <xf numFmtId="0" fontId="17" fillId="7" borderId="13" xfId="0" applyFont="1" applyFill="1" applyBorder="1" applyAlignment="1">
      <alignment horizontal="left" vertical="top" wrapText="1"/>
    </xf>
    <xf numFmtId="0" fontId="17" fillId="0" borderId="10" xfId="0" applyFont="1" applyBorder="1" applyAlignment="1">
      <alignment horizontal="left" vertical="top" wrapText="1"/>
    </xf>
    <xf numFmtId="0" fontId="17" fillId="0" borderId="11" xfId="0" applyFont="1" applyBorder="1" applyAlignment="1">
      <alignment horizontal="left" vertical="top" wrapText="1"/>
    </xf>
    <xf numFmtId="0" fontId="17" fillId="0" borderId="12" xfId="0" applyFont="1" applyBorder="1" applyAlignment="1">
      <alignment horizontal="left" vertical="top" wrapText="1"/>
    </xf>
    <xf numFmtId="0" fontId="17" fillId="0" borderId="13" xfId="0" applyFont="1" applyBorder="1" applyAlignment="1">
      <alignment horizontal="left" vertical="top" wrapText="1"/>
    </xf>
    <xf numFmtId="0" fontId="6" fillId="0" borderId="5" xfId="0" applyFont="1" applyBorder="1" applyAlignment="1">
      <alignment horizontal="left" wrapText="1"/>
    </xf>
    <xf numFmtId="0" fontId="16" fillId="0" borderId="0" xfId="0" applyFont="1" applyAlignment="1">
      <alignment horizontal="left" wrapText="1"/>
    </xf>
    <xf numFmtId="0" fontId="17" fillId="0" borderId="0" xfId="0" applyFont="1" applyAlignment="1">
      <alignment horizontal="left" vertical="top" wrapText="1"/>
    </xf>
    <xf numFmtId="0" fontId="16" fillId="0" borderId="12" xfId="0" applyFont="1" applyBorder="1" applyAlignment="1">
      <alignment horizontal="left" vertical="top" wrapText="1"/>
    </xf>
    <xf numFmtId="0" fontId="16" fillId="0" borderId="13" xfId="0" applyFont="1" applyBorder="1" applyAlignment="1">
      <alignment horizontal="left" vertical="top" wrapText="1"/>
    </xf>
    <xf numFmtId="0" fontId="16" fillId="0" borderId="14" xfId="0" applyFont="1" applyBorder="1" applyAlignment="1">
      <alignment horizontal="left" vertical="top" wrapText="1"/>
    </xf>
    <xf numFmtId="0" fontId="6" fillId="0" borderId="0" xfId="0" applyFont="1" applyAlignment="1">
      <alignment horizontal="left" vertical="center" wrapText="1"/>
    </xf>
    <xf numFmtId="0" fontId="17" fillId="0" borderId="15" xfId="0" applyFont="1" applyBorder="1" applyAlignment="1">
      <alignment horizontal="left" vertical="top" wrapText="1"/>
    </xf>
    <xf numFmtId="0" fontId="19" fillId="12" borderId="16" xfId="0" applyFont="1" applyFill="1" applyBorder="1" applyAlignment="1">
      <alignment horizontal="center" vertical="top" wrapText="1"/>
    </xf>
    <xf numFmtId="0" fontId="19" fillId="12" borderId="16" xfId="0" applyFont="1" applyFill="1" applyBorder="1" applyAlignment="1">
      <alignment horizontal="left" vertical="top" wrapText="1"/>
    </xf>
    <xf numFmtId="0" fontId="11" fillId="5" borderId="17" xfId="0" applyFont="1" applyFill="1" applyBorder="1" applyAlignment="1">
      <alignment horizontal="center" vertical="top" wrapText="1"/>
    </xf>
    <xf numFmtId="0" fontId="15" fillId="5" borderId="18" xfId="0" applyFont="1" applyFill="1" applyBorder="1" applyAlignment="1">
      <alignment horizontal="center" vertical="top" wrapText="1"/>
    </xf>
    <xf numFmtId="0" fontId="11" fillId="5" borderId="19" xfId="0" applyFont="1" applyFill="1" applyBorder="1" applyAlignment="1">
      <alignment horizontal="left" vertical="top" wrapText="1" indent="2"/>
    </xf>
    <xf numFmtId="0" fontId="23" fillId="0" borderId="20" xfId="0" applyFont="1" applyBorder="1" applyAlignment="1">
      <alignment horizontal="center" vertical="top" wrapText="1"/>
    </xf>
    <xf numFmtId="0" fontId="23" fillId="13" borderId="21" xfId="0" applyFont="1" applyFill="1" applyBorder="1" applyAlignment="1">
      <alignment horizontal="center" vertical="top" wrapText="1"/>
    </xf>
    <xf numFmtId="0" fontId="24" fillId="14" borderId="22" xfId="0" applyFont="1" applyFill="1" applyBorder="1" applyAlignment="1">
      <alignment horizontal="left" vertical="top" wrapText="1" indent="1"/>
    </xf>
    <xf numFmtId="0" fontId="19" fillId="10" borderId="0" xfId="0" applyFont="1" applyFill="1" applyAlignment="1">
      <alignment vertical="top" wrapText="1"/>
    </xf>
    <xf numFmtId="0" fontId="11" fillId="5" borderId="3" xfId="0" applyFont="1" applyFill="1" applyBorder="1" applyAlignment="1">
      <alignment horizontal="left" vertical="top" wrapText="1"/>
    </xf>
    <xf numFmtId="0" fontId="8" fillId="5" borderId="4" xfId="0" applyFont="1" applyFill="1" applyBorder="1" applyAlignment="1">
      <alignment horizontal="center" vertical="top" wrapText="1"/>
    </xf>
    <xf numFmtId="0" fontId="11" fillId="5" borderId="23" xfId="0" applyFont="1" applyFill="1" applyBorder="1" applyAlignment="1">
      <alignment horizontal="left" vertical="top" wrapText="1"/>
    </xf>
    <xf numFmtId="0" fontId="26" fillId="0" borderId="0" xfId="0" applyFont="1" applyAlignment="1">
      <alignment horizontal="left" vertical="top" wrapText="1"/>
    </xf>
    <xf numFmtId="0" fontId="27" fillId="6" borderId="0" xfId="0" applyFont="1" applyFill="1" applyAlignment="1">
      <alignment horizontal="left" vertical="top" wrapText="1"/>
    </xf>
    <xf numFmtId="0" fontId="27" fillId="9" borderId="0" xfId="0" applyFont="1" applyFill="1" applyAlignment="1">
      <alignment horizontal="center" vertical="top" wrapText="1"/>
    </xf>
    <xf numFmtId="0" fontId="27" fillId="0" borderId="0" xfId="0" applyFont="1" applyAlignment="1">
      <alignment horizontal="left" vertical="center" wrapText="1"/>
    </xf>
    <xf numFmtId="0" fontId="17" fillId="15" borderId="5" xfId="0" applyFont="1" applyFill="1" applyBorder="1" applyAlignment="1">
      <alignment horizontal="center" vertical="top" wrapText="1"/>
    </xf>
    <xf numFmtId="0" fontId="27" fillId="15" borderId="5" xfId="0" applyFont="1" applyFill="1" applyBorder="1" applyAlignment="1">
      <alignment horizontal="center" vertical="top" wrapText="1"/>
    </xf>
    <xf numFmtId="0" fontId="27" fillId="0" borderId="0" xfId="0" applyFont="1" applyAlignment="1">
      <alignment horizontal="left" vertical="top" wrapText="1"/>
    </xf>
    <xf numFmtId="0" fontId="28" fillId="9" borderId="0" xfId="0" applyFont="1" applyFill="1" applyAlignment="1">
      <alignment horizontal="left" vertical="top" wrapText="1"/>
    </xf>
    <xf numFmtId="0" fontId="29" fillId="10" borderId="0" xfId="0" applyFont="1" applyFill="1" applyAlignment="1">
      <alignment horizontal="center" vertical="top" wrapText="1"/>
    </xf>
    <xf numFmtId="0" fontId="2" fillId="2" borderId="0" xfId="2" applyAlignment="1">
      <alignment horizontal="left" wrapText="1"/>
    </xf>
    <xf numFmtId="0" fontId="2" fillId="2" borderId="0" xfId="2"/>
    <xf numFmtId="169" fontId="0" fillId="0" borderId="0" xfId="1" applyNumberFormat="1" applyFont="1"/>
    <xf numFmtId="169" fontId="5" fillId="0" borderId="0" xfId="1" applyNumberFormat="1" applyFont="1"/>
    <xf numFmtId="0" fontId="4" fillId="4" borderId="2" xfId="3"/>
    <xf numFmtId="170" fontId="0" fillId="0" borderId="0" xfId="1" applyNumberFormat="1" applyFont="1"/>
    <xf numFmtId="170" fontId="5" fillId="0" borderId="0" xfId="1" applyNumberFormat="1" applyFont="1"/>
    <xf numFmtId="170" fontId="3" fillId="3" borderId="1" xfId="1" applyNumberFormat="1" applyFont="1" applyFill="1" applyBorder="1"/>
  </cellXfs>
  <cellStyles count="4">
    <cellStyle name="Bad" xfId="2" builtinId="27"/>
    <cellStyle name="Check Cell" xfId="3" builtinId="23"/>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2</xdr:row>
      <xdr:rowOff>0</xdr:rowOff>
    </xdr:from>
    <xdr:to>
      <xdr:col>31</xdr:col>
      <xdr:colOff>449354</xdr:colOff>
      <xdr:row>15</xdr:row>
      <xdr:rowOff>137511</xdr:rowOff>
    </xdr:to>
    <xdr:pic>
      <xdr:nvPicPr>
        <xdr:cNvPr id="2" name="Picture 1">
          <a:extLst>
            <a:ext uri="{FF2B5EF4-FFF2-40B4-BE49-F238E27FC236}">
              <a16:creationId xmlns:a16="http://schemas.microsoft.com/office/drawing/2014/main" id="{46042588-A82E-885D-D736-3007AB571F5B}"/>
            </a:ext>
          </a:extLst>
        </xdr:cNvPr>
        <xdr:cNvPicPr>
          <a:picLocks noChangeAspect="1"/>
        </xdr:cNvPicPr>
      </xdr:nvPicPr>
      <xdr:blipFill>
        <a:blip xmlns:r="http://schemas.openxmlformats.org/officeDocument/2006/relationships" r:embed="rId1"/>
        <a:stretch>
          <a:fillRect/>
        </a:stretch>
      </xdr:blipFill>
      <xdr:spPr>
        <a:xfrm>
          <a:off x="7315200" y="792480"/>
          <a:ext cx="12031754" cy="2514951"/>
        </a:xfrm>
        <a:prstGeom prst="rect">
          <a:avLst/>
        </a:prstGeom>
      </xdr:spPr>
    </xdr:pic>
    <xdr:clientData/>
  </xdr:twoCellAnchor>
  <xdr:twoCellAnchor editAs="oneCell">
    <xdr:from>
      <xdr:col>12</xdr:col>
      <xdr:colOff>0</xdr:colOff>
      <xdr:row>18</xdr:row>
      <xdr:rowOff>0</xdr:rowOff>
    </xdr:from>
    <xdr:to>
      <xdr:col>27</xdr:col>
      <xdr:colOff>344224</xdr:colOff>
      <xdr:row>31</xdr:row>
      <xdr:rowOff>108932</xdr:rowOff>
    </xdr:to>
    <xdr:pic>
      <xdr:nvPicPr>
        <xdr:cNvPr id="3" name="Picture 2">
          <a:extLst>
            <a:ext uri="{FF2B5EF4-FFF2-40B4-BE49-F238E27FC236}">
              <a16:creationId xmlns:a16="http://schemas.microsoft.com/office/drawing/2014/main" id="{1A3BEFCD-3202-A637-0805-FC5C16D2AFEF}"/>
            </a:ext>
          </a:extLst>
        </xdr:cNvPr>
        <xdr:cNvPicPr>
          <a:picLocks noChangeAspect="1"/>
        </xdr:cNvPicPr>
      </xdr:nvPicPr>
      <xdr:blipFill>
        <a:blip xmlns:r="http://schemas.openxmlformats.org/officeDocument/2006/relationships" r:embed="rId2"/>
        <a:stretch>
          <a:fillRect/>
        </a:stretch>
      </xdr:blipFill>
      <xdr:spPr>
        <a:xfrm>
          <a:off x="7315200" y="3718560"/>
          <a:ext cx="9488224" cy="2486372"/>
        </a:xfrm>
        <a:prstGeom prst="rect">
          <a:avLst/>
        </a:prstGeom>
      </xdr:spPr>
    </xdr:pic>
    <xdr:clientData/>
  </xdr:twoCellAnchor>
  <xdr:twoCellAnchor editAs="oneCell">
    <xdr:from>
      <xdr:col>12</xdr:col>
      <xdr:colOff>0</xdr:colOff>
      <xdr:row>36</xdr:row>
      <xdr:rowOff>0</xdr:rowOff>
    </xdr:from>
    <xdr:to>
      <xdr:col>19</xdr:col>
      <xdr:colOff>572175</xdr:colOff>
      <xdr:row>45</xdr:row>
      <xdr:rowOff>114571</xdr:rowOff>
    </xdr:to>
    <xdr:pic>
      <xdr:nvPicPr>
        <xdr:cNvPr id="4" name="Picture 3">
          <a:extLst>
            <a:ext uri="{FF2B5EF4-FFF2-40B4-BE49-F238E27FC236}">
              <a16:creationId xmlns:a16="http://schemas.microsoft.com/office/drawing/2014/main" id="{37C91644-7D18-F30D-3F9F-921F92F37AAB}"/>
            </a:ext>
          </a:extLst>
        </xdr:cNvPr>
        <xdr:cNvPicPr>
          <a:picLocks noChangeAspect="1"/>
        </xdr:cNvPicPr>
      </xdr:nvPicPr>
      <xdr:blipFill>
        <a:blip xmlns:r="http://schemas.openxmlformats.org/officeDocument/2006/relationships" r:embed="rId3"/>
        <a:stretch>
          <a:fillRect/>
        </a:stretch>
      </xdr:blipFill>
      <xdr:spPr>
        <a:xfrm>
          <a:off x="7315200" y="7010400"/>
          <a:ext cx="4839375" cy="1943371"/>
        </a:xfrm>
        <a:prstGeom prst="rect">
          <a:avLst/>
        </a:prstGeom>
      </xdr:spPr>
    </xdr:pic>
    <xdr:clientData/>
  </xdr:twoCellAnchor>
  <xdr:twoCellAnchor editAs="oneCell">
    <xdr:from>
      <xdr:col>12</xdr:col>
      <xdr:colOff>45720</xdr:colOff>
      <xdr:row>63</xdr:row>
      <xdr:rowOff>22860</xdr:rowOff>
    </xdr:from>
    <xdr:to>
      <xdr:col>24</xdr:col>
      <xdr:colOff>132478</xdr:colOff>
      <xdr:row>65</xdr:row>
      <xdr:rowOff>104880</xdr:rowOff>
    </xdr:to>
    <xdr:pic>
      <xdr:nvPicPr>
        <xdr:cNvPr id="5" name="Picture 4">
          <a:extLst>
            <a:ext uri="{FF2B5EF4-FFF2-40B4-BE49-F238E27FC236}">
              <a16:creationId xmlns:a16="http://schemas.microsoft.com/office/drawing/2014/main" id="{74D93A73-FAA9-8431-D639-5B5D74848AE0}"/>
            </a:ext>
          </a:extLst>
        </xdr:cNvPr>
        <xdr:cNvPicPr>
          <a:picLocks noChangeAspect="1"/>
        </xdr:cNvPicPr>
      </xdr:nvPicPr>
      <xdr:blipFill>
        <a:blip xmlns:r="http://schemas.openxmlformats.org/officeDocument/2006/relationships" r:embed="rId4"/>
        <a:stretch>
          <a:fillRect/>
        </a:stretch>
      </xdr:blipFill>
      <xdr:spPr>
        <a:xfrm>
          <a:off x="7360920" y="12153900"/>
          <a:ext cx="7401958" cy="7525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7620</xdr:colOff>
      <xdr:row>24</xdr:row>
      <xdr:rowOff>0</xdr:rowOff>
    </xdr:from>
    <xdr:to>
      <xdr:col>22</xdr:col>
      <xdr:colOff>448642</xdr:colOff>
      <xdr:row>26</xdr:row>
      <xdr:rowOff>53398</xdr:rowOff>
    </xdr:to>
    <xdr:pic>
      <xdr:nvPicPr>
        <xdr:cNvPr id="2" name="Picture 1">
          <a:extLst>
            <a:ext uri="{FF2B5EF4-FFF2-40B4-BE49-F238E27FC236}">
              <a16:creationId xmlns:a16="http://schemas.microsoft.com/office/drawing/2014/main" id="{8C7DC55E-1CF5-5B01-22C1-C42098709454}"/>
            </a:ext>
          </a:extLst>
        </xdr:cNvPr>
        <xdr:cNvPicPr>
          <a:picLocks noChangeAspect="1"/>
        </xdr:cNvPicPr>
      </xdr:nvPicPr>
      <xdr:blipFill>
        <a:blip xmlns:r="http://schemas.openxmlformats.org/officeDocument/2006/relationships" r:embed="rId1"/>
        <a:stretch>
          <a:fillRect/>
        </a:stretch>
      </xdr:blipFill>
      <xdr:spPr>
        <a:xfrm>
          <a:off x="7322820" y="5318760"/>
          <a:ext cx="6925642" cy="4191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
  <sheetViews>
    <sheetView topLeftCell="A10" workbookViewId="0">
      <selection activeCell="F64" sqref="F64"/>
    </sheetView>
  </sheetViews>
  <sheetFormatPr defaultRowHeight="14.4"/>
  <sheetData>
    <row r="1" spans="1:11" ht="48">
      <c r="A1" s="1" t="s">
        <v>0</v>
      </c>
      <c r="B1" s="2" t="s">
        <v>1</v>
      </c>
      <c r="C1" s="3" t="s">
        <v>2</v>
      </c>
      <c r="D1" s="4" t="s">
        <v>3</v>
      </c>
      <c r="E1" s="4" t="s">
        <v>4</v>
      </c>
      <c r="F1" s="5" t="s">
        <v>5</v>
      </c>
      <c r="G1" s="6" t="s">
        <v>6</v>
      </c>
      <c r="H1" s="6" t="s">
        <v>7</v>
      </c>
      <c r="I1" s="6" t="s">
        <v>8</v>
      </c>
      <c r="J1" s="7" t="s">
        <v>9</v>
      </c>
      <c r="K1" s="8"/>
    </row>
    <row r="2" spans="1:11">
      <c r="A2" s="9" t="s">
        <v>54</v>
      </c>
      <c r="B2" s="9"/>
      <c r="C2" s="9"/>
      <c r="D2" s="9"/>
      <c r="E2" s="9"/>
      <c r="F2" s="9"/>
      <c r="G2" s="9"/>
      <c r="H2" s="9"/>
      <c r="I2" s="9"/>
      <c r="J2" s="9"/>
      <c r="K2" s="9"/>
    </row>
    <row r="3" spans="1:11">
      <c r="A3" s="10" t="s">
        <v>10</v>
      </c>
      <c r="B3" s="10"/>
      <c r="C3" s="10"/>
      <c r="D3" s="10"/>
      <c r="E3" s="10"/>
      <c r="F3" s="10"/>
      <c r="G3" s="10"/>
      <c r="H3" s="10"/>
      <c r="I3" s="10"/>
      <c r="J3" s="10"/>
      <c r="K3" s="11"/>
    </row>
    <row r="4" spans="1:11">
      <c r="A4" s="12" t="s">
        <v>11</v>
      </c>
      <c r="B4" s="12"/>
      <c r="C4" s="12"/>
      <c r="D4" s="12"/>
      <c r="E4" s="12"/>
      <c r="F4" s="12"/>
      <c r="G4" s="12"/>
      <c r="H4" s="12"/>
      <c r="I4" s="12"/>
      <c r="J4" s="12"/>
      <c r="K4" s="12"/>
    </row>
    <row r="5" spans="1:11">
      <c r="A5" s="13" t="s">
        <v>12</v>
      </c>
      <c r="B5" s="13" t="s">
        <v>13</v>
      </c>
      <c r="C5" s="13" t="s">
        <v>55</v>
      </c>
      <c r="D5" s="14">
        <v>1</v>
      </c>
      <c r="E5" s="14">
        <v>1</v>
      </c>
      <c r="F5" s="13">
        <v>25.4</v>
      </c>
      <c r="G5" s="15"/>
      <c r="H5" s="13">
        <v>25.4</v>
      </c>
      <c r="I5" s="13">
        <v>0.22</v>
      </c>
      <c r="J5" s="16">
        <v>5.59</v>
      </c>
      <c r="K5" s="11"/>
    </row>
    <row r="6" spans="1:11">
      <c r="A6" s="13" t="s">
        <v>14</v>
      </c>
      <c r="B6" s="13" t="s">
        <v>13</v>
      </c>
      <c r="C6" s="13" t="s">
        <v>15</v>
      </c>
      <c r="D6" s="14">
        <v>1</v>
      </c>
      <c r="E6" s="14">
        <v>1</v>
      </c>
      <c r="F6" s="15"/>
      <c r="G6" s="13">
        <v>6.6</v>
      </c>
      <c r="H6" s="13">
        <v>6.6</v>
      </c>
      <c r="I6" s="13">
        <v>1.1399999999999999</v>
      </c>
      <c r="J6" s="16">
        <v>7.52</v>
      </c>
      <c r="K6" s="11"/>
    </row>
    <row r="7" spans="1:11">
      <c r="A7" s="13" t="s">
        <v>16</v>
      </c>
      <c r="B7" s="13" t="s">
        <v>13</v>
      </c>
      <c r="C7" s="13" t="s">
        <v>55</v>
      </c>
      <c r="D7" s="14">
        <v>1</v>
      </c>
      <c r="E7" s="14">
        <v>1</v>
      </c>
      <c r="F7" s="13">
        <v>25.4</v>
      </c>
      <c r="G7" s="15"/>
      <c r="H7" s="13">
        <v>25.4</v>
      </c>
      <c r="I7" s="13">
        <v>0.22</v>
      </c>
      <c r="J7" s="16">
        <v>5.59</v>
      </c>
      <c r="K7" s="11"/>
    </row>
    <row r="8" spans="1:11">
      <c r="A8" s="13" t="s">
        <v>17</v>
      </c>
      <c r="B8" s="13" t="s">
        <v>13</v>
      </c>
      <c r="C8" s="13" t="s">
        <v>15</v>
      </c>
      <c r="D8" s="14">
        <v>1</v>
      </c>
      <c r="E8" s="14">
        <v>1</v>
      </c>
      <c r="F8" s="17"/>
      <c r="G8" s="13">
        <v>6.6</v>
      </c>
      <c r="H8" s="13">
        <v>6.6</v>
      </c>
      <c r="I8" s="13">
        <v>1.1399999999999999</v>
      </c>
      <c r="J8" s="16">
        <v>7.52</v>
      </c>
      <c r="K8" s="11"/>
    </row>
    <row r="9" spans="1:11">
      <c r="A9" s="13" t="s">
        <v>18</v>
      </c>
      <c r="B9" s="13" t="s">
        <v>13</v>
      </c>
      <c r="C9" s="13" t="s">
        <v>55</v>
      </c>
      <c r="D9" s="14">
        <v>1</v>
      </c>
      <c r="E9" s="14">
        <v>1</v>
      </c>
      <c r="F9" s="13">
        <v>21</v>
      </c>
      <c r="G9" s="15"/>
      <c r="H9" s="13">
        <v>21</v>
      </c>
      <c r="I9" s="13">
        <v>0.22</v>
      </c>
      <c r="J9" s="16">
        <v>4.62</v>
      </c>
      <c r="K9" s="11"/>
    </row>
    <row r="10" spans="1:11">
      <c r="A10" s="13" t="s">
        <v>19</v>
      </c>
      <c r="B10" s="13" t="s">
        <v>13</v>
      </c>
      <c r="C10" s="13" t="s">
        <v>15</v>
      </c>
      <c r="D10" s="14">
        <v>1</v>
      </c>
      <c r="E10" s="14">
        <v>1</v>
      </c>
      <c r="F10" s="15"/>
      <c r="G10" s="13">
        <v>11</v>
      </c>
      <c r="H10" s="13">
        <v>11</v>
      </c>
      <c r="I10" s="13">
        <v>1.1399999999999999</v>
      </c>
      <c r="J10" s="16">
        <v>12.54</v>
      </c>
      <c r="K10" s="11"/>
    </row>
    <row r="11" spans="1:11">
      <c r="A11" s="13" t="s">
        <v>20</v>
      </c>
      <c r="B11" s="13" t="s">
        <v>13</v>
      </c>
      <c r="C11" s="13" t="s">
        <v>55</v>
      </c>
      <c r="D11" s="14">
        <v>1</v>
      </c>
      <c r="E11" s="14">
        <v>1</v>
      </c>
      <c r="F11" s="13">
        <v>27.6</v>
      </c>
      <c r="G11" s="15"/>
      <c r="H11" s="13">
        <v>27.6</v>
      </c>
      <c r="I11" s="13">
        <v>0.22</v>
      </c>
      <c r="J11" s="16">
        <v>6.07</v>
      </c>
      <c r="K11" s="11"/>
    </row>
    <row r="12" spans="1:11">
      <c r="A12" s="13" t="s">
        <v>21</v>
      </c>
      <c r="B12" s="13" t="s">
        <v>13</v>
      </c>
      <c r="C12" s="13" t="s">
        <v>22</v>
      </c>
      <c r="D12" s="14">
        <v>1</v>
      </c>
      <c r="E12" s="14">
        <v>1</v>
      </c>
      <c r="F12" s="17"/>
      <c r="G12" s="13">
        <v>2.2000000000000002</v>
      </c>
      <c r="H12" s="13">
        <v>2.2000000000000002</v>
      </c>
      <c r="I12" s="13">
        <v>2.2000000000000002</v>
      </c>
      <c r="J12" s="16">
        <v>4.84</v>
      </c>
      <c r="K12" s="11"/>
    </row>
    <row r="13" spans="1:11">
      <c r="A13" s="13" t="s">
        <v>23</v>
      </c>
      <c r="B13" s="13" t="s">
        <v>13</v>
      </c>
      <c r="C13" s="13" t="s">
        <v>15</v>
      </c>
      <c r="D13" s="14">
        <v>1</v>
      </c>
      <c r="E13" s="14">
        <v>1</v>
      </c>
      <c r="F13" s="15"/>
      <c r="G13" s="13">
        <v>2.2000000000000002</v>
      </c>
      <c r="H13" s="13">
        <v>2.2000000000000002</v>
      </c>
      <c r="I13" s="13">
        <v>1.1399999999999999</v>
      </c>
      <c r="J13" s="16">
        <v>2.5099999999999998</v>
      </c>
      <c r="K13" s="11"/>
    </row>
    <row r="14" spans="1:11">
      <c r="A14" s="18"/>
      <c r="B14" s="18"/>
      <c r="C14" s="18"/>
      <c r="D14" s="18"/>
      <c r="E14" s="18"/>
      <c r="F14" s="18"/>
      <c r="G14" s="18"/>
      <c r="H14" s="18"/>
      <c r="I14" s="18"/>
      <c r="J14" s="18"/>
      <c r="K14" s="11"/>
    </row>
    <row r="15" spans="1:11">
      <c r="A15" s="19" t="s">
        <v>24</v>
      </c>
      <c r="B15" s="19" t="s">
        <v>25</v>
      </c>
      <c r="C15" s="19" t="s">
        <v>26</v>
      </c>
      <c r="D15" s="20">
        <v>1</v>
      </c>
      <c r="E15" s="20">
        <v>0</v>
      </c>
      <c r="F15" s="19" t="s">
        <v>27</v>
      </c>
      <c r="G15" s="19" t="s">
        <v>27</v>
      </c>
      <c r="H15" s="19" t="s">
        <v>27</v>
      </c>
      <c r="I15" s="19">
        <v>0.19</v>
      </c>
      <c r="J15" s="19" t="s">
        <v>27</v>
      </c>
      <c r="K15" s="11"/>
    </row>
    <row r="16" spans="1:11">
      <c r="A16" s="19" t="s">
        <v>28</v>
      </c>
      <c r="B16" s="19" t="s">
        <v>25</v>
      </c>
      <c r="C16" s="19" t="s">
        <v>29</v>
      </c>
      <c r="D16" s="20">
        <v>1</v>
      </c>
      <c r="E16" s="20">
        <v>0</v>
      </c>
      <c r="F16" s="19" t="s">
        <v>27</v>
      </c>
      <c r="G16" s="19" t="s">
        <v>27</v>
      </c>
      <c r="H16" s="19" t="s">
        <v>27</v>
      </c>
      <c r="I16" s="19">
        <v>0.16</v>
      </c>
      <c r="J16" s="19" t="s">
        <v>27</v>
      </c>
      <c r="K16" s="11"/>
    </row>
    <row r="17" spans="1:11">
      <c r="A17" s="11"/>
      <c r="B17" s="11"/>
      <c r="C17" s="11"/>
      <c r="D17" s="11"/>
      <c r="E17" s="11"/>
      <c r="F17" s="11"/>
      <c r="G17" s="11"/>
      <c r="H17" s="11"/>
      <c r="I17" s="11"/>
      <c r="J17" s="11"/>
      <c r="K17" s="11"/>
    </row>
    <row r="18" spans="1:11">
      <c r="A18" s="10" t="s">
        <v>30</v>
      </c>
      <c r="B18" s="10"/>
      <c r="C18" s="10"/>
      <c r="D18" s="10"/>
      <c r="E18" s="10"/>
      <c r="F18" s="21" t="s">
        <v>56</v>
      </c>
      <c r="G18" s="21"/>
      <c r="H18" s="21"/>
      <c r="I18" s="22"/>
      <c r="J18" s="23">
        <v>56.8</v>
      </c>
      <c r="K18" s="11"/>
    </row>
    <row r="19" spans="1:11">
      <c r="A19" s="12" t="s">
        <v>31</v>
      </c>
      <c r="B19" s="12"/>
      <c r="C19" s="12"/>
      <c r="D19" s="12"/>
      <c r="E19" s="12"/>
      <c r="F19" s="12"/>
      <c r="G19" s="12"/>
      <c r="H19" s="12"/>
      <c r="I19" s="12"/>
      <c r="J19" s="12"/>
      <c r="K19" s="12"/>
    </row>
    <row r="20" spans="1:11">
      <c r="A20" s="19" t="s">
        <v>12</v>
      </c>
      <c r="B20" s="19" t="s">
        <v>13</v>
      </c>
      <c r="C20" s="19" t="s">
        <v>55</v>
      </c>
      <c r="D20" s="20">
        <v>0</v>
      </c>
      <c r="E20" s="19" t="s">
        <v>27</v>
      </c>
      <c r="F20" s="19" t="s">
        <v>27</v>
      </c>
      <c r="G20" s="19" t="s">
        <v>27</v>
      </c>
      <c r="H20" s="19" t="s">
        <v>27</v>
      </c>
      <c r="I20" s="19">
        <v>0.22</v>
      </c>
      <c r="J20" s="19" t="s">
        <v>27</v>
      </c>
      <c r="K20" s="11"/>
    </row>
    <row r="21" spans="1:11">
      <c r="A21" s="19" t="s">
        <v>16</v>
      </c>
      <c r="B21" s="19" t="s">
        <v>13</v>
      </c>
      <c r="C21" s="19" t="s">
        <v>55</v>
      </c>
      <c r="D21" s="20">
        <v>0</v>
      </c>
      <c r="E21" s="19" t="s">
        <v>27</v>
      </c>
      <c r="F21" s="19" t="s">
        <v>27</v>
      </c>
      <c r="G21" s="19" t="s">
        <v>27</v>
      </c>
      <c r="H21" s="19" t="s">
        <v>27</v>
      </c>
      <c r="I21" s="19">
        <v>0.22</v>
      </c>
      <c r="J21" s="19" t="s">
        <v>27</v>
      </c>
      <c r="K21" s="11"/>
    </row>
    <row r="22" spans="1:11">
      <c r="A22" s="19" t="s">
        <v>18</v>
      </c>
      <c r="B22" s="19" t="s">
        <v>13</v>
      </c>
      <c r="C22" s="19" t="s">
        <v>55</v>
      </c>
      <c r="D22" s="20">
        <v>0</v>
      </c>
      <c r="E22" s="19" t="s">
        <v>27</v>
      </c>
      <c r="F22" s="19" t="s">
        <v>27</v>
      </c>
      <c r="G22" s="19" t="s">
        <v>27</v>
      </c>
      <c r="H22" s="19" t="s">
        <v>27</v>
      </c>
      <c r="I22" s="19">
        <v>0.22</v>
      </c>
      <c r="J22" s="19" t="s">
        <v>27</v>
      </c>
      <c r="K22" s="11"/>
    </row>
    <row r="23" spans="1:11">
      <c r="A23" s="19" t="s">
        <v>20</v>
      </c>
      <c r="B23" s="19" t="s">
        <v>13</v>
      </c>
      <c r="C23" s="19" t="s">
        <v>55</v>
      </c>
      <c r="D23" s="20">
        <v>0</v>
      </c>
      <c r="E23" s="19" t="s">
        <v>27</v>
      </c>
      <c r="F23" s="19" t="s">
        <v>27</v>
      </c>
      <c r="G23" s="19" t="s">
        <v>27</v>
      </c>
      <c r="H23" s="19" t="s">
        <v>27</v>
      </c>
      <c r="I23" s="19">
        <v>0.22</v>
      </c>
      <c r="J23" s="19" t="s">
        <v>27</v>
      </c>
      <c r="K23" s="11"/>
    </row>
    <row r="24" spans="1:11">
      <c r="A24" s="19" t="s">
        <v>28</v>
      </c>
      <c r="B24" s="19" t="s">
        <v>25</v>
      </c>
      <c r="C24" s="19" t="s">
        <v>26</v>
      </c>
      <c r="D24" s="20">
        <v>0</v>
      </c>
      <c r="E24" s="19" t="s">
        <v>27</v>
      </c>
      <c r="F24" s="19" t="s">
        <v>27</v>
      </c>
      <c r="G24" s="19" t="s">
        <v>27</v>
      </c>
      <c r="H24" s="19" t="s">
        <v>27</v>
      </c>
      <c r="I24" s="19">
        <v>0.16</v>
      </c>
      <c r="J24" s="19" t="s">
        <v>27</v>
      </c>
      <c r="K24" s="11"/>
    </row>
    <row r="25" spans="1:11">
      <c r="A25" s="19" t="s">
        <v>32</v>
      </c>
      <c r="B25" s="19" t="s">
        <v>13</v>
      </c>
      <c r="C25" s="19" t="s">
        <v>33</v>
      </c>
      <c r="D25" s="20">
        <v>0</v>
      </c>
      <c r="E25" s="19" t="s">
        <v>27</v>
      </c>
      <c r="F25" s="19" t="s">
        <v>27</v>
      </c>
      <c r="G25" s="19" t="s">
        <v>27</v>
      </c>
      <c r="H25" s="19" t="s">
        <v>27</v>
      </c>
      <c r="I25" s="19">
        <v>0.17</v>
      </c>
      <c r="J25" s="19" t="s">
        <v>27</v>
      </c>
      <c r="K25" s="11"/>
    </row>
    <row r="26" spans="1:11">
      <c r="A26" s="19" t="s">
        <v>34</v>
      </c>
      <c r="B26" s="19" t="s">
        <v>13</v>
      </c>
      <c r="C26" s="19" t="s">
        <v>33</v>
      </c>
      <c r="D26" s="20">
        <v>0</v>
      </c>
      <c r="E26" s="19" t="s">
        <v>27</v>
      </c>
      <c r="F26" s="19" t="s">
        <v>27</v>
      </c>
      <c r="G26" s="19" t="s">
        <v>27</v>
      </c>
      <c r="H26" s="19" t="s">
        <v>27</v>
      </c>
      <c r="I26" s="19">
        <v>0.17</v>
      </c>
      <c r="J26" s="19" t="s">
        <v>27</v>
      </c>
      <c r="K26" s="11"/>
    </row>
    <row r="27" spans="1:11">
      <c r="A27" s="19" t="s">
        <v>35</v>
      </c>
      <c r="B27" s="19" t="s">
        <v>13</v>
      </c>
      <c r="C27" s="19" t="s">
        <v>33</v>
      </c>
      <c r="D27" s="20">
        <v>0</v>
      </c>
      <c r="E27" s="19" t="s">
        <v>27</v>
      </c>
      <c r="F27" s="19" t="s">
        <v>27</v>
      </c>
      <c r="G27" s="19" t="s">
        <v>27</v>
      </c>
      <c r="H27" s="19" t="s">
        <v>27</v>
      </c>
      <c r="I27" s="19">
        <v>0.17</v>
      </c>
      <c r="J27" s="19" t="s">
        <v>27</v>
      </c>
      <c r="K27" s="11"/>
    </row>
    <row r="28" spans="1:11">
      <c r="A28" s="19" t="s">
        <v>36</v>
      </c>
      <c r="B28" s="19" t="s">
        <v>13</v>
      </c>
      <c r="C28" s="19" t="s">
        <v>33</v>
      </c>
      <c r="D28" s="20">
        <v>0</v>
      </c>
      <c r="E28" s="19" t="s">
        <v>27</v>
      </c>
      <c r="F28" s="19" t="s">
        <v>27</v>
      </c>
      <c r="G28" s="19" t="s">
        <v>27</v>
      </c>
      <c r="H28" s="19" t="s">
        <v>27</v>
      </c>
      <c r="I28" s="19">
        <v>0.17</v>
      </c>
      <c r="J28" s="19" t="s">
        <v>27</v>
      </c>
      <c r="K28" s="11"/>
    </row>
    <row r="29" spans="1:11">
      <c r="A29" s="11"/>
      <c r="B29" s="11"/>
      <c r="C29" s="11"/>
      <c r="D29" s="11"/>
      <c r="E29" s="11"/>
      <c r="F29" s="11"/>
      <c r="G29" s="11"/>
      <c r="H29" s="11"/>
      <c r="I29" s="11"/>
      <c r="J29" s="11"/>
      <c r="K29" s="11"/>
    </row>
    <row r="30" spans="1:11">
      <c r="A30" s="10" t="s">
        <v>37</v>
      </c>
      <c r="B30" s="10"/>
      <c r="C30" s="10"/>
      <c r="D30" s="10"/>
      <c r="E30" s="10"/>
      <c r="F30" s="23">
        <v>0</v>
      </c>
      <c r="G30" s="23">
        <v>0</v>
      </c>
      <c r="H30" s="23">
        <v>0</v>
      </c>
      <c r="I30" s="22"/>
      <c r="J30" s="24"/>
      <c r="K30" s="11"/>
    </row>
    <row r="31" spans="1:11">
      <c r="A31" s="25"/>
      <c r="B31" s="25"/>
      <c r="C31" s="25"/>
      <c r="D31" s="25"/>
      <c r="E31" s="25"/>
      <c r="F31" s="11"/>
      <c r="G31" s="11"/>
      <c r="H31" s="11"/>
      <c r="I31" s="11"/>
      <c r="J31" s="11"/>
      <c r="K31" s="11"/>
    </row>
    <row r="32" spans="1:11">
      <c r="A32" s="26" t="s">
        <v>38</v>
      </c>
      <c r="B32" s="26"/>
      <c r="C32" s="26"/>
      <c r="D32" s="26"/>
      <c r="E32" s="26"/>
      <c r="F32" s="27">
        <v>99.4</v>
      </c>
      <c r="G32" s="27">
        <v>28.6</v>
      </c>
      <c r="H32" s="27">
        <v>128</v>
      </c>
      <c r="I32" s="24"/>
      <c r="J32" s="28">
        <v>56.8</v>
      </c>
      <c r="K32" s="11"/>
    </row>
    <row r="37" spans="1:6">
      <c r="A37" s="29" t="s">
        <v>39</v>
      </c>
      <c r="B37" s="29"/>
      <c r="C37" s="29"/>
      <c r="D37" s="29"/>
      <c r="E37" s="29"/>
    </row>
    <row r="38" spans="1:6" ht="28.8">
      <c r="A38" s="31" t="s">
        <v>40</v>
      </c>
      <c r="B38" s="30"/>
      <c r="C38" s="32" t="s">
        <v>41</v>
      </c>
      <c r="D38" s="33" t="s">
        <v>42</v>
      </c>
      <c r="E38" s="34" t="s">
        <v>43</v>
      </c>
      <c r="F38" t="s">
        <v>69</v>
      </c>
    </row>
    <row r="39" spans="1:6">
      <c r="A39" s="35" t="s">
        <v>44</v>
      </c>
      <c r="B39" s="36"/>
      <c r="C39" s="13">
        <v>0.1</v>
      </c>
      <c r="D39" s="13">
        <v>32</v>
      </c>
      <c r="E39" s="13">
        <v>3.2</v>
      </c>
    </row>
    <row r="40" spans="1:6">
      <c r="A40" s="35" t="s">
        <v>45</v>
      </c>
      <c r="B40" s="36"/>
      <c r="C40" s="13">
        <v>0.22500000000000001</v>
      </c>
      <c r="D40" s="13">
        <v>32</v>
      </c>
      <c r="E40" s="13">
        <v>7.2</v>
      </c>
    </row>
    <row r="41" spans="1:6">
      <c r="A41" s="35" t="s">
        <v>46</v>
      </c>
      <c r="B41" s="36"/>
      <c r="C41" s="13">
        <v>4.2999999999999997E-2</v>
      </c>
      <c r="D41" s="13">
        <v>18</v>
      </c>
      <c r="E41" s="13">
        <v>0.77</v>
      </c>
    </row>
    <row r="42" spans="1:6">
      <c r="A42" s="39" t="s">
        <v>47</v>
      </c>
      <c r="B42" s="40"/>
      <c r="C42" s="18"/>
      <c r="D42" s="18"/>
      <c r="E42" s="19">
        <v>0</v>
      </c>
    </row>
    <row r="43" spans="1:6">
      <c r="A43" s="39" t="s">
        <v>48</v>
      </c>
      <c r="B43" s="40"/>
      <c r="C43" s="18"/>
      <c r="D43" s="18"/>
      <c r="E43" s="19">
        <v>0</v>
      </c>
    </row>
    <row r="44" spans="1:6">
      <c r="A44" s="35" t="s">
        <v>49</v>
      </c>
      <c r="B44" s="36"/>
      <c r="C44" s="13">
        <v>0.51</v>
      </c>
      <c r="D44" s="13">
        <v>13</v>
      </c>
      <c r="E44" s="13">
        <v>6.63</v>
      </c>
    </row>
    <row r="45" spans="1:6">
      <c r="A45" s="17"/>
      <c r="B45" s="17"/>
      <c r="C45" s="17"/>
      <c r="D45" s="17"/>
      <c r="E45" s="13">
        <v>0</v>
      </c>
    </row>
    <row r="46" spans="1:6">
      <c r="A46" s="35" t="s">
        <v>50</v>
      </c>
      <c r="B46" s="36"/>
      <c r="C46" s="14">
        <v>0</v>
      </c>
      <c r="D46" s="13">
        <v>13</v>
      </c>
      <c r="E46" s="13">
        <v>0</v>
      </c>
    </row>
    <row r="47" spans="1:6">
      <c r="A47" s="17"/>
      <c r="B47" s="17"/>
      <c r="C47" s="17"/>
      <c r="D47" s="17"/>
      <c r="E47" s="13">
        <v>0</v>
      </c>
    </row>
    <row r="48" spans="1:6">
      <c r="A48" s="35" t="s">
        <v>51</v>
      </c>
      <c r="B48" s="36"/>
      <c r="C48" s="13">
        <v>0.01</v>
      </c>
      <c r="D48" s="13">
        <v>22</v>
      </c>
      <c r="E48" s="13">
        <v>0.22</v>
      </c>
    </row>
    <row r="49" spans="1:8">
      <c r="A49" s="17"/>
      <c r="B49" s="17"/>
      <c r="C49" s="17"/>
      <c r="D49" s="17"/>
      <c r="E49" s="13">
        <v>0</v>
      </c>
      <c r="F49">
        <f>H49/G49</f>
        <v>0.14270833333333333</v>
      </c>
      <c r="G49">
        <f>SUM(D44:D49)</f>
        <v>48</v>
      </c>
      <c r="H49">
        <f>SUMPRODUCT(C44:C49,D44:D49)</f>
        <v>6.85</v>
      </c>
    </row>
    <row r="50" spans="1:8">
      <c r="A50" s="39" t="s">
        <v>52</v>
      </c>
      <c r="B50" s="40"/>
      <c r="C50" s="18"/>
      <c r="D50" s="18"/>
      <c r="E50" s="19">
        <v>0</v>
      </c>
    </row>
    <row r="51" spans="1:8">
      <c r="A51" s="39" t="s">
        <v>53</v>
      </c>
      <c r="B51" s="40"/>
      <c r="C51" s="41"/>
      <c r="D51" s="41"/>
      <c r="E51" s="19">
        <v>0</v>
      </c>
    </row>
    <row r="52" spans="1:8">
      <c r="A52" s="11"/>
      <c r="B52" s="11"/>
      <c r="C52" s="11"/>
      <c r="D52" s="11"/>
      <c r="E52" s="11"/>
    </row>
    <row r="53" spans="1:8" ht="14.4" customHeight="1">
      <c r="A53" s="26" t="s">
        <v>38</v>
      </c>
      <c r="B53" s="26"/>
      <c r="C53" s="26"/>
      <c r="D53" s="57">
        <f>SUM(D39:D49)</f>
        <v>130</v>
      </c>
      <c r="E53" s="57">
        <f>SUM(E39:E49)</f>
        <v>18.02</v>
      </c>
    </row>
    <row r="58" spans="1:8">
      <c r="A58" s="42" t="s">
        <v>64</v>
      </c>
      <c r="B58" s="42"/>
      <c r="C58" s="42"/>
      <c r="D58" s="42"/>
    </row>
    <row r="59" spans="1:8">
      <c r="A59" s="42"/>
      <c r="B59" s="42"/>
      <c r="C59" s="42"/>
      <c r="D59" s="42"/>
    </row>
    <row r="60" spans="1:8">
      <c r="A60" s="43" t="s">
        <v>57</v>
      </c>
      <c r="B60" s="43"/>
      <c r="C60" s="43"/>
      <c r="D60" s="43"/>
    </row>
    <row r="61" spans="1:8">
      <c r="A61" s="44" t="s">
        <v>65</v>
      </c>
      <c r="B61" s="46"/>
      <c r="C61" s="45"/>
      <c r="D61" s="47"/>
    </row>
    <row r="62" spans="1:8">
      <c r="A62" s="37" t="s">
        <v>66</v>
      </c>
      <c r="B62" s="38"/>
      <c r="C62" s="48"/>
      <c r="D62" s="47"/>
    </row>
    <row r="63" spans="1:8">
      <c r="A63" s="47"/>
      <c r="B63" s="47"/>
      <c r="C63" s="47"/>
      <c r="D63" s="47"/>
    </row>
    <row r="64" spans="1:8">
      <c r="A64" s="49" t="s">
        <v>58</v>
      </c>
      <c r="B64" s="50" t="s">
        <v>59</v>
      </c>
      <c r="C64" s="50"/>
      <c r="D64" s="11"/>
    </row>
    <row r="65" spans="1:4" ht="38.4">
      <c r="A65" s="51" t="s">
        <v>60</v>
      </c>
      <c r="B65" s="52" t="s">
        <v>61</v>
      </c>
      <c r="C65" s="53" t="s">
        <v>62</v>
      </c>
      <c r="D65" s="8"/>
    </row>
    <row r="66" spans="1:4" ht="45">
      <c r="A66" s="54" t="s">
        <v>67</v>
      </c>
      <c r="B66" s="55" t="s">
        <v>68</v>
      </c>
      <c r="C66" s="56" t="s">
        <v>63</v>
      </c>
      <c r="D66" s="8"/>
    </row>
  </sheetData>
  <mergeCells count="27">
    <mergeCell ref="A60:D60"/>
    <mergeCell ref="A61:C61"/>
    <mergeCell ref="A62:C62"/>
    <mergeCell ref="B64:C64"/>
    <mergeCell ref="A48:B48"/>
    <mergeCell ref="A50:B50"/>
    <mergeCell ref="A51:B51"/>
    <mergeCell ref="A53:C53"/>
    <mergeCell ref="A58:D59"/>
    <mergeCell ref="A40:B40"/>
    <mergeCell ref="A41:B41"/>
    <mergeCell ref="A42:B42"/>
    <mergeCell ref="A43:B43"/>
    <mergeCell ref="A44:B44"/>
    <mergeCell ref="A46:B46"/>
    <mergeCell ref="A30:E30"/>
    <mergeCell ref="A31:E31"/>
    <mergeCell ref="A32:E32"/>
    <mergeCell ref="A37:E37"/>
    <mergeCell ref="A38:B38"/>
    <mergeCell ref="A39:B39"/>
    <mergeCell ref="A2:K2"/>
    <mergeCell ref="A3:J3"/>
    <mergeCell ref="A4:K4"/>
    <mergeCell ref="A18:E18"/>
    <mergeCell ref="F18:H18"/>
    <mergeCell ref="A19:K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3DC5-1A29-4DF5-832F-531FBAC08DEC}">
  <dimension ref="A1:AC15"/>
  <sheetViews>
    <sheetView tabSelected="1" topLeftCell="F1" workbookViewId="0">
      <selection activeCell="Y18" sqref="Y18"/>
    </sheetView>
  </sheetViews>
  <sheetFormatPr defaultRowHeight="14.4"/>
  <cols>
    <col min="20" max="21" width="11.109375" style="72" bestFit="1" customWidth="1"/>
    <col min="22" max="23" width="10.109375" style="72" bestFit="1" customWidth="1"/>
    <col min="24" max="24" width="9.109375" style="72" bestFit="1" customWidth="1"/>
    <col min="25" max="28" width="8.88671875" style="75"/>
  </cols>
  <sheetData>
    <row r="1" spans="1:29" ht="57.6">
      <c r="A1" s="58" t="s">
        <v>70</v>
      </c>
      <c r="B1" s="59" t="s">
        <v>71</v>
      </c>
      <c r="C1" s="59" t="s">
        <v>72</v>
      </c>
      <c r="D1" s="4" t="s">
        <v>73</v>
      </c>
      <c r="E1" s="4" t="s">
        <v>74</v>
      </c>
      <c r="F1" s="6" t="s">
        <v>75</v>
      </c>
      <c r="G1" s="59" t="s">
        <v>76</v>
      </c>
      <c r="H1" s="59" t="s">
        <v>88</v>
      </c>
      <c r="I1" s="59" t="s">
        <v>89</v>
      </c>
      <c r="J1" s="4" t="s">
        <v>77</v>
      </c>
      <c r="K1" s="60" t="s">
        <v>78</v>
      </c>
      <c r="L1" s="8" t="s">
        <v>92</v>
      </c>
      <c r="Q1" t="s">
        <v>99</v>
      </c>
    </row>
    <row r="2" spans="1:29">
      <c r="A2" s="61" t="s">
        <v>90</v>
      </c>
      <c r="B2" s="61"/>
      <c r="C2" s="61"/>
      <c r="D2" s="61"/>
      <c r="E2" s="61"/>
      <c r="F2" s="61"/>
      <c r="G2" s="61"/>
      <c r="H2" s="61"/>
      <c r="I2" s="61"/>
      <c r="J2" s="61"/>
      <c r="K2" s="61"/>
      <c r="L2" s="61"/>
    </row>
    <row r="3" spans="1:29" ht="15" thickBot="1">
      <c r="A3" s="62" t="s">
        <v>10</v>
      </c>
      <c r="B3" s="62"/>
      <c r="C3" s="62"/>
      <c r="D3" s="62"/>
      <c r="E3" s="62"/>
      <c r="F3" s="62"/>
      <c r="G3" s="62"/>
      <c r="H3" s="62"/>
      <c r="I3" s="62"/>
      <c r="J3" s="62"/>
      <c r="K3" s="63">
        <v>0</v>
      </c>
      <c r="L3" s="11"/>
      <c r="T3" s="73" t="s">
        <v>100</v>
      </c>
      <c r="U3" s="73" t="s">
        <v>101</v>
      </c>
      <c r="V3" s="73" t="s">
        <v>102</v>
      </c>
      <c r="W3" s="73" t="s">
        <v>103</v>
      </c>
      <c r="X3" s="73" t="s">
        <v>104</v>
      </c>
      <c r="Y3" s="76" t="s">
        <v>105</v>
      </c>
      <c r="Z3" s="76" t="s">
        <v>106</v>
      </c>
      <c r="AA3" s="76" t="s">
        <v>107</v>
      </c>
      <c r="AB3" s="76" t="s">
        <v>108</v>
      </c>
    </row>
    <row r="4" spans="1:29" ht="15.6" thickTop="1" thickBot="1">
      <c r="A4" s="64" t="s">
        <v>11</v>
      </c>
      <c r="B4" s="64"/>
      <c r="C4" s="64"/>
      <c r="D4" s="64"/>
      <c r="E4" s="64"/>
      <c r="F4" s="64"/>
      <c r="G4" s="64"/>
      <c r="H4" s="64"/>
      <c r="I4" s="64"/>
      <c r="J4" s="64"/>
      <c r="K4" s="64"/>
      <c r="L4" s="64"/>
      <c r="Q4" t="s">
        <v>94</v>
      </c>
      <c r="R4">
        <v>180</v>
      </c>
      <c r="S4">
        <v>11</v>
      </c>
      <c r="T4" s="72">
        <v>83033.734375</v>
      </c>
      <c r="U4" s="72">
        <v>82091.632811999996</v>
      </c>
      <c r="V4" s="72">
        <v>47998.242187999997</v>
      </c>
      <c r="W4" s="72">
        <v>47998.242187999997</v>
      </c>
      <c r="X4" s="72">
        <v>1799.934082</v>
      </c>
      <c r="Y4" s="77">
        <f>U4/T4</f>
        <v>0.98865399021143319</v>
      </c>
      <c r="Z4" s="77">
        <f>V4/U4</f>
        <v>0.58469104029057284</v>
      </c>
      <c r="AA4" s="77">
        <f>W4/V4</f>
        <v>1</v>
      </c>
      <c r="AB4" s="77">
        <f>X4/W4</f>
        <v>3.7499999998958297E-2</v>
      </c>
      <c r="AC4" s="74">
        <f>0.05*0.75</f>
        <v>3.7500000000000006E-2</v>
      </c>
    </row>
    <row r="5" spans="1:29" ht="21.6" thickTop="1" thickBot="1">
      <c r="A5" s="65" t="s">
        <v>14</v>
      </c>
      <c r="B5" s="66" t="s">
        <v>79</v>
      </c>
      <c r="C5" s="66" t="s">
        <v>80</v>
      </c>
      <c r="D5" s="66">
        <v>6.6</v>
      </c>
      <c r="E5" s="66">
        <v>0.25</v>
      </c>
      <c r="F5" s="66">
        <v>56.67</v>
      </c>
      <c r="G5" s="66">
        <v>0.61</v>
      </c>
      <c r="H5" s="66">
        <v>0.05</v>
      </c>
      <c r="I5" s="66">
        <v>0.83</v>
      </c>
      <c r="J5" s="66">
        <v>1.76</v>
      </c>
      <c r="K5" s="66">
        <v>11.64</v>
      </c>
      <c r="L5" s="70">
        <v>0.76</v>
      </c>
      <c r="M5" s="71">
        <f>L5/I5</f>
        <v>0.9156626506024097</v>
      </c>
      <c r="N5" t="s">
        <v>93</v>
      </c>
      <c r="Q5" t="s">
        <v>95</v>
      </c>
      <c r="R5">
        <v>90</v>
      </c>
      <c r="S5">
        <v>6.6</v>
      </c>
      <c r="T5" s="72">
        <v>101231.226562</v>
      </c>
      <c r="U5" s="72">
        <v>101152.929688</v>
      </c>
      <c r="V5" s="72">
        <v>76249.914061999996</v>
      </c>
      <c r="W5" s="72">
        <v>76249.914061999996</v>
      </c>
      <c r="X5" s="72">
        <v>2859.3725589999999</v>
      </c>
      <c r="Y5" s="77">
        <f t="shared" ref="Y5:Y8" si="0">U5/T5</f>
        <v>0.99922655413098216</v>
      </c>
      <c r="Z5" s="77">
        <f t="shared" ref="Z5:Z8" si="1">V5/U5</f>
        <v>0.75380826138390822</v>
      </c>
      <c r="AA5" s="77">
        <f t="shared" ref="AA5:AA8" si="2">W5/V5</f>
        <v>1</v>
      </c>
      <c r="AB5" s="77">
        <f t="shared" ref="AB5:AB8" si="3">X5/W5</f>
        <v>3.7500010251486963E-2</v>
      </c>
      <c r="AC5" s="74">
        <f t="shared" ref="AC5:AC8" si="4">0.05*0.75</f>
        <v>3.7500000000000006E-2</v>
      </c>
    </row>
    <row r="6" spans="1:29" ht="21.6" thickTop="1" thickBot="1">
      <c r="A6" s="65" t="s">
        <v>17</v>
      </c>
      <c r="B6" s="66" t="s">
        <v>81</v>
      </c>
      <c r="C6" s="66" t="s">
        <v>82</v>
      </c>
      <c r="D6" s="66">
        <v>6.6</v>
      </c>
      <c r="E6" s="66">
        <v>0.25</v>
      </c>
      <c r="F6" s="66">
        <v>114.88</v>
      </c>
      <c r="G6" s="66">
        <v>0.61</v>
      </c>
      <c r="H6" s="66">
        <v>0.05</v>
      </c>
      <c r="I6" s="66">
        <v>0.84</v>
      </c>
      <c r="J6" s="66">
        <v>3.62</v>
      </c>
      <c r="K6" s="66">
        <v>23.88</v>
      </c>
      <c r="L6" s="70">
        <v>0.75</v>
      </c>
      <c r="M6" s="71">
        <f>L6/I6</f>
        <v>0.8928571428571429</v>
      </c>
      <c r="Q6" t="s">
        <v>96</v>
      </c>
      <c r="R6">
        <v>0</v>
      </c>
      <c r="S6">
        <v>6.6</v>
      </c>
      <c r="T6" s="72">
        <v>60244.039062000003</v>
      </c>
      <c r="U6" s="72">
        <v>59161.492187999997</v>
      </c>
      <c r="V6" s="72">
        <v>45646.957030999998</v>
      </c>
      <c r="W6" s="72">
        <v>45646.957030999998</v>
      </c>
      <c r="X6" s="72">
        <v>1711.7612300000001</v>
      </c>
      <c r="Y6" s="77">
        <f t="shared" si="0"/>
        <v>0.98203063919924249</v>
      </c>
      <c r="Z6" s="77">
        <f t="shared" si="1"/>
        <v>0.77156534331395354</v>
      </c>
      <c r="AA6" s="77">
        <f t="shared" si="2"/>
        <v>1</v>
      </c>
      <c r="AB6" s="77">
        <f t="shared" si="3"/>
        <v>3.7500007477771186E-2</v>
      </c>
      <c r="AC6" s="74">
        <f t="shared" si="4"/>
        <v>3.7500000000000006E-2</v>
      </c>
    </row>
    <row r="7" spans="1:29" ht="21.6" thickTop="1" thickBot="1">
      <c r="A7" s="65" t="s">
        <v>19</v>
      </c>
      <c r="B7" s="66" t="s">
        <v>83</v>
      </c>
      <c r="C7" s="66" t="s">
        <v>84</v>
      </c>
      <c r="D7" s="66">
        <v>11</v>
      </c>
      <c r="E7" s="66">
        <v>0.25</v>
      </c>
      <c r="F7" s="66">
        <v>82.09</v>
      </c>
      <c r="G7" s="66">
        <v>0.42</v>
      </c>
      <c r="H7" s="66">
        <v>0.05</v>
      </c>
      <c r="I7" s="66">
        <v>0.56000000000000005</v>
      </c>
      <c r="J7" s="66">
        <v>1.72</v>
      </c>
      <c r="K7" s="66">
        <v>18.96</v>
      </c>
      <c r="L7" s="11"/>
      <c r="Q7" t="s">
        <v>97</v>
      </c>
      <c r="R7">
        <v>270</v>
      </c>
      <c r="S7">
        <v>2.2000000000000002</v>
      </c>
      <c r="T7" s="72">
        <v>110897.351562</v>
      </c>
      <c r="U7" s="72">
        <v>110819.164062</v>
      </c>
      <c r="V7" s="72">
        <v>77502.5</v>
      </c>
      <c r="W7" s="72">
        <v>77502.5</v>
      </c>
      <c r="X7" s="72">
        <v>0</v>
      </c>
      <c r="Y7" s="77">
        <f t="shared" si="0"/>
        <v>0.9992949561112261</v>
      </c>
      <c r="Z7" s="77">
        <f t="shared" si="1"/>
        <v>0.69936008501778335</v>
      </c>
      <c r="AA7" s="77">
        <f t="shared" si="2"/>
        <v>1</v>
      </c>
      <c r="AB7" s="77">
        <f t="shared" si="3"/>
        <v>0</v>
      </c>
      <c r="AC7" s="74">
        <f t="shared" si="4"/>
        <v>3.7500000000000006E-2</v>
      </c>
    </row>
    <row r="8" spans="1:29" ht="21.6" thickTop="1" thickBot="1">
      <c r="A8" s="65" t="s">
        <v>21</v>
      </c>
      <c r="B8" s="66" t="s">
        <v>85</v>
      </c>
      <c r="C8" s="66" t="s">
        <v>86</v>
      </c>
      <c r="D8" s="66">
        <v>2.2000000000000002</v>
      </c>
      <c r="E8" s="66">
        <v>1</v>
      </c>
      <c r="F8" s="66">
        <v>106.71</v>
      </c>
      <c r="G8" s="66" t="s">
        <v>27</v>
      </c>
      <c r="H8" s="66">
        <v>0</v>
      </c>
      <c r="I8" s="66">
        <v>0.81</v>
      </c>
      <c r="J8" s="66">
        <v>0</v>
      </c>
      <c r="K8" s="66">
        <v>0</v>
      </c>
      <c r="L8" s="11"/>
      <c r="Q8" t="s">
        <v>98</v>
      </c>
      <c r="R8">
        <v>270</v>
      </c>
      <c r="S8">
        <v>2.2000000000000002</v>
      </c>
      <c r="T8" s="72">
        <v>110897.351562</v>
      </c>
      <c r="U8" s="72">
        <v>110819.164062</v>
      </c>
      <c r="V8" s="72">
        <v>77502.5</v>
      </c>
      <c r="W8" s="72">
        <v>77502.5</v>
      </c>
      <c r="X8" s="72">
        <v>2906.3447270000001</v>
      </c>
      <c r="Y8" s="77">
        <f t="shared" si="0"/>
        <v>0.9992949561112261</v>
      </c>
      <c r="Z8" s="77">
        <f t="shared" si="1"/>
        <v>0.69936008501778335</v>
      </c>
      <c r="AA8" s="77">
        <f t="shared" si="2"/>
        <v>1</v>
      </c>
      <c r="AB8" s="77">
        <f t="shared" si="3"/>
        <v>3.750001260604497E-2</v>
      </c>
      <c r="AC8" s="74">
        <f t="shared" si="4"/>
        <v>3.7500000000000006E-2</v>
      </c>
    </row>
    <row r="9" spans="1:29" ht="21" thickTop="1">
      <c r="A9" s="65" t="s">
        <v>23</v>
      </c>
      <c r="B9" s="66" t="s">
        <v>87</v>
      </c>
      <c r="C9" s="66" t="s">
        <v>86</v>
      </c>
      <c r="D9" s="66">
        <v>2.2000000000000002</v>
      </c>
      <c r="E9" s="66">
        <v>0.25</v>
      </c>
      <c r="F9" s="66">
        <v>106.71</v>
      </c>
      <c r="G9" s="66">
        <v>0.42</v>
      </c>
      <c r="H9" s="66">
        <v>0.05</v>
      </c>
      <c r="I9" s="66">
        <v>0.81</v>
      </c>
      <c r="J9" s="66">
        <v>3.24</v>
      </c>
      <c r="K9" s="66">
        <v>7.13</v>
      </c>
      <c r="L9" s="11">
        <v>0.7</v>
      </c>
      <c r="M9">
        <f>L9/I9</f>
        <v>0.86419753086419737</v>
      </c>
    </row>
    <row r="10" spans="1:29">
      <c r="A10" s="11"/>
      <c r="B10" s="11"/>
      <c r="C10" s="11"/>
      <c r="D10" s="11"/>
      <c r="E10" s="11"/>
      <c r="F10" s="11"/>
      <c r="G10" s="11"/>
      <c r="H10" s="11"/>
      <c r="I10" s="11"/>
      <c r="J10" s="11"/>
      <c r="K10" s="11"/>
      <c r="L10" s="11"/>
    </row>
    <row r="11" spans="1:29">
      <c r="A11" s="62" t="s">
        <v>30</v>
      </c>
      <c r="B11" s="62"/>
      <c r="C11" s="62"/>
      <c r="D11" s="62"/>
      <c r="E11" s="62"/>
      <c r="F11" s="62"/>
      <c r="G11" s="62"/>
      <c r="H11" s="62"/>
      <c r="I11" s="62"/>
      <c r="J11" s="62"/>
      <c r="K11" s="63">
        <v>61.62</v>
      </c>
      <c r="L11" s="11"/>
    </row>
    <row r="12" spans="1:29">
      <c r="A12" s="67" t="s">
        <v>91</v>
      </c>
      <c r="B12" s="67"/>
      <c r="C12" s="67"/>
      <c r="D12" s="67"/>
      <c r="E12" s="67"/>
      <c r="F12" s="67"/>
      <c r="G12" s="67"/>
      <c r="H12" s="67"/>
      <c r="I12" s="67"/>
      <c r="J12" s="67"/>
      <c r="K12" s="67"/>
      <c r="L12" s="67"/>
    </row>
    <row r="13" spans="1:29">
      <c r="A13" s="62" t="s">
        <v>37</v>
      </c>
      <c r="B13" s="62"/>
      <c r="C13" s="62"/>
      <c r="D13" s="62"/>
      <c r="E13" s="62"/>
      <c r="F13" s="62"/>
      <c r="G13" s="62"/>
      <c r="H13" s="62"/>
      <c r="I13" s="62"/>
      <c r="J13" s="62"/>
      <c r="K13" s="63">
        <v>0</v>
      </c>
      <c r="L13" s="11"/>
    </row>
    <row r="14" spans="1:29">
      <c r="A14" s="11"/>
      <c r="B14" s="11"/>
      <c r="C14" s="11"/>
      <c r="D14" s="11"/>
      <c r="E14" s="11"/>
      <c r="F14" s="11"/>
      <c r="G14" s="11"/>
      <c r="H14" s="11"/>
      <c r="I14" s="11"/>
      <c r="J14" s="11"/>
      <c r="K14" s="11"/>
      <c r="L14" s="11"/>
    </row>
    <row r="15" spans="1:29">
      <c r="A15" s="68" t="s">
        <v>38</v>
      </c>
      <c r="B15" s="68"/>
      <c r="C15" s="68"/>
      <c r="D15" s="68"/>
      <c r="E15" s="68"/>
      <c r="F15" s="68"/>
      <c r="G15" s="68"/>
      <c r="H15" s="68"/>
      <c r="I15" s="68"/>
      <c r="J15" s="68"/>
      <c r="K15" s="69">
        <v>61.62</v>
      </c>
      <c r="L15" s="47"/>
    </row>
  </sheetData>
  <mergeCells count="7">
    <mergeCell ref="A15:J15"/>
    <mergeCell ref="A2:L2"/>
    <mergeCell ref="A3:J3"/>
    <mergeCell ref="A4:L4"/>
    <mergeCell ref="A11:J11"/>
    <mergeCell ref="A12:L12"/>
    <mergeCell ref="A13:J13"/>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K_global</vt:lpstr>
      <vt:lpstr>q_sol;jul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2025-11-25T07:51:34Z</dcterms:modified>
</cp:coreProperties>
</file>