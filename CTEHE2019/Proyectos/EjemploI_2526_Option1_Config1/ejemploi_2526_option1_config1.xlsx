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CTEyCEE\CTEHE2019\Proyectos\EjemploI_2526_Option1_Config1\"/>
    </mc:Choice>
  </mc:AlternateContent>
  <xr:revisionPtr revIDLastSave="0" documentId="13_ncr:1_{1D5A74F9-66E2-4CB9-9A32-4D6A50D6D5FF}" xr6:coauthVersionLast="47" xr6:coauthVersionMax="47" xr10:uidLastSave="{00000000-0000-0000-0000-000000000000}"/>
  <bookViews>
    <workbookView xWindow="12920" yWindow="0" windowWidth="18280" windowHeight="17600" activeTab="1" xr2:uid="{3B09A6EE-9EE8-4827-B081-3758E53C1BFB}"/>
  </bookViews>
  <sheets>
    <sheet name="ejemploi_2526_option1_config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1" i="1" l="1"/>
  <c r="C33" i="1"/>
  <c r="D33" i="1"/>
  <c r="E33" i="1"/>
  <c r="F33" i="1"/>
  <c r="G33" i="1"/>
  <c r="H33" i="1"/>
  <c r="I33" i="1"/>
  <c r="J33" i="1"/>
  <c r="K33" i="1"/>
  <c r="L33" i="1"/>
  <c r="M33" i="1"/>
  <c r="B33" i="1"/>
  <c r="N32" i="1"/>
  <c r="N30" i="1"/>
  <c r="N29" i="1"/>
  <c r="N28" i="1"/>
  <c r="N27" i="1"/>
  <c r="N26" i="1"/>
  <c r="N22" i="1"/>
  <c r="O22" i="1" s="1"/>
  <c r="N21" i="1"/>
  <c r="O21" i="1" s="1"/>
  <c r="N20" i="1"/>
  <c r="O20" i="1" s="1"/>
  <c r="N19" i="1"/>
  <c r="O19" i="1" s="1"/>
  <c r="N18" i="1"/>
  <c r="N17" i="1"/>
  <c r="N16" i="1"/>
  <c r="N15" i="1"/>
  <c r="N10" i="1"/>
  <c r="N11" i="1"/>
  <c r="N6" i="1"/>
  <c r="O6" i="1" s="1"/>
  <c r="P6" i="1" s="1"/>
  <c r="N7" i="1"/>
  <c r="O7" i="1" s="1"/>
  <c r="P7" i="1" s="1"/>
  <c r="N8" i="1"/>
  <c r="O8" i="1" s="1"/>
  <c r="P8" i="1" s="1"/>
  <c r="N9" i="1"/>
  <c r="O9" i="1" s="1"/>
  <c r="P9" i="1" s="1"/>
  <c r="N5" i="1"/>
  <c r="O5" i="1" s="1"/>
  <c r="P5" i="1" s="1"/>
</calcChain>
</file>

<file path=xl/sharedStrings.xml><?xml version="1.0" encoding="utf-8"?>
<sst xmlns="http://schemas.openxmlformats.org/spreadsheetml/2006/main" count="69" uniqueCount="55">
  <si>
    <t>ProyectoEdificio</t>
  </si>
  <si>
    <t xml:space="preserve"> c:\proyectoscteycee\ctehe2019\proyectos\ejemploi_2526_option1_config1\newbdl_ds.xml</t>
  </si>
  <si>
    <t xml:space="preserve"> zonaE1.bin</t>
  </si>
  <si>
    <t>CALDERA</t>
  </si>
  <si>
    <t xml:space="preserve"> SIS2_EQ1_EQ_Caldera-Biomasa-Defecto</t>
  </si>
  <si>
    <t>tipoCombustible</t>
  </si>
  <si>
    <t xml:space="preserve"> Biomasa densificada (pelets)</t>
  </si>
  <si>
    <t>demandaACS</t>
  </si>
  <si>
    <t>demandaCAL</t>
  </si>
  <si>
    <t>consumoElectricidad</t>
  </si>
  <si>
    <t>consumoCombustible</t>
  </si>
  <si>
    <t>nhFunciona</t>
  </si>
  <si>
    <t>nhCortaACS</t>
  </si>
  <si>
    <t>nhCortaCAL</t>
  </si>
  <si>
    <t>FinCALDERA</t>
  </si>
  <si>
    <t xml:space="preserve">  </t>
  </si>
  <si>
    <t xml:space="preserve">ESPACIO   </t>
  </si>
  <si>
    <t xml:space="preserve"> P02_E01</t>
  </si>
  <si>
    <t xml:space="preserve">nhFuncionaRef </t>
  </si>
  <si>
    <t xml:space="preserve">nhFuncionaCal </t>
  </si>
  <si>
    <t xml:space="preserve">nhCortaRef </t>
  </si>
  <si>
    <t xml:space="preserve">nhCortaCal </t>
  </si>
  <si>
    <t xml:space="preserve">QRefSen </t>
  </si>
  <si>
    <t xml:space="preserve">QCalSen </t>
  </si>
  <si>
    <t xml:space="preserve">QRefNoCubierta </t>
  </si>
  <si>
    <t xml:space="preserve">QCalNoCubierta </t>
  </si>
  <si>
    <t>FinESPACIO</t>
  </si>
  <si>
    <t xml:space="preserve">DEMANDA_ACS   </t>
  </si>
  <si>
    <t xml:space="preserve"> SIS2_ACS1_Demanda_de_ACS</t>
  </si>
  <si>
    <t xml:space="preserve">nhFunciona </t>
  </si>
  <si>
    <t xml:space="preserve">nhCorta </t>
  </si>
  <si>
    <t xml:space="preserve">Q </t>
  </si>
  <si>
    <t xml:space="preserve">QNoCubierta </t>
  </si>
  <si>
    <t>FinDEMANDA_ACS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</si>
  <si>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</si>
  <si>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</si>
  <si>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</si>
  <si>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</si>
  <si>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</si>
  <si>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</si>
  <si>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</si>
  <si>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</si>
  <si>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</si>
  <si>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</si>
  <si>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</si>
  <si>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</si>
  <si>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</si>
  <si>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kWh/year</t>
  </si>
  <si>
    <t>kWh/(m^2 year)</t>
  </si>
  <si>
    <t>hours/day</t>
  </si>
  <si>
    <t>Month</t>
  </si>
  <si>
    <t>demandaACS (kWh)</t>
  </si>
  <si>
    <t>demandaCAL (kWh)</t>
  </si>
  <si>
    <t>demandaREF (kWh)</t>
  </si>
  <si>
    <t>H(i)_m (kWh/m2/mo)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</si>
</sst>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164" fontId="0" fillId="0" borderId="0" xfId="1" applyNumberFormat="1" applyFont="1"/>
    <xf numFmtId="43" fontId="0" fillId="0" borderId="0" xfId="0" applyNumberFormat="1"/>
    <xf numFmtId="0" fontId="0" fillId="33" borderId="0" xfId="0" applyFill="1"/>
    <xf numFmtId="164" fontId="0" fillId="33" borderId="0" xfId="1" applyNumberFormat="1" applyFont="1" applyFill="1"/>
    <xf numFmtId="43" fontId="0" fillId="33" borderId="0" xfId="0" applyNumberFormat="1" applyFill="1"/>
    <xf numFmtId="0" fontId="0" fillId="34" borderId="0" xfId="0" applyFill="1"/>
    <xf numFmtId="164" fontId="0" fillId="34" borderId="0" xfId="1" applyNumberFormat="1" applyFont="1" applyFill="1"/>
    <xf numFmtId="0" fontId="16" fillId="0" borderId="0" xfId="0" applyFont="1"/>
    <xf numFmtId="0" fontId="19" fillId="0" borderId="0" xfId="0" applyFont="1"/>
    <xf numFmtId="0" fontId="16" fillId="33" borderId="0" xfId="0" applyFont="1" applyFill="1"/>
    <xf numFmtId="0" fontId="16" fillId="34" borderId="0" xfId="0" applyFont="1" applyFill="1"/>
    <xf numFmtId="0" fontId="0" fillId="0" borderId="10" xfId="0" applyBorder="1"/>
    <xf numFmtId="164" fontId="0" fillId="0" borderId="10" xfId="0" applyNumberFormat="1" applyBorder="1"/>
    <xf numFmtId="164" fontId="0" fillId="33" borderId="10" xfId="0" applyNumberFormat="1" applyFill="1" applyBorder="1"/>
    <xf numFmtId="164" fontId="0" fillId="34" borderId="10" xfId="0" applyNumberFormat="1" applyFill="1" applyBorder="1"/>
    <xf numFmtId="164" fontId="16" fillId="0" borderId="10" xfId="0" applyNumberFormat="1" applyFont="1" applyBorder="1"/>
    <xf numFmtId="43" fontId="6" fillId="2" borderId="0" xfId="7" applyNumberFormat="1"/>
    <xf numFmtId="0" fontId="16" fillId="35" borderId="0" xfId="0" applyFont="1" applyFill="1"/>
    <xf numFmtId="164" fontId="0" fillId="35" borderId="0" xfId="1" applyNumberFormat="1" applyFont="1" applyFill="1"/>
    <xf numFmtId="164" fontId="16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12</xdr:col>
      <xdr:colOff>45771</xdr:colOff>
      <xdr:row>44</xdr:row>
      <xdr:rowOff>31960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6E5ECE-19BE-CB3E-7849-E679C0CAC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6629400"/>
          <a:ext cx="9469171" cy="15051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A73A8-5D75-4D35-BF5D-6ED116870A7D}">
  <dimension ref="A1:P33"/>
  <sheetViews>
    <sheetView workbookViewId="0">
      <selection activeCell="B21" sqref="B21:M21"/>
    </sheetView>
  </sheetViews>
  <sheetFormatPr defaultRowHeight="14.5" x14ac:dyDescent="0.35"/>
  <cols>
    <col min="1" max="1" width="18.81640625" bestFit="1" customWidth="1"/>
    <col min="2" max="2" width="13.08984375" bestFit="1" customWidth="1"/>
    <col min="3" max="12" width="12.1796875" bestFit="1" customWidth="1"/>
    <col min="13" max="13" width="13.08984375" bestFit="1" customWidth="1"/>
    <col min="14" max="14" width="10.1796875" style="12" bestFit="1" customWidth="1"/>
    <col min="15" max="15" width="9.1796875" bestFit="1" customWidth="1"/>
  </cols>
  <sheetData>
    <row r="1" spans="1:16" x14ac:dyDescent="0.35">
      <c r="A1" t="s">
        <v>0</v>
      </c>
      <c r="B1" t="s">
        <v>1</v>
      </c>
      <c r="C1" t="s">
        <v>2</v>
      </c>
    </row>
    <row r="3" spans="1:16" x14ac:dyDescent="0.35">
      <c r="A3" s="8" t="s">
        <v>3</v>
      </c>
      <c r="B3" s="8" t="s">
        <v>4</v>
      </c>
    </row>
    <row r="4" spans="1:16" x14ac:dyDescent="0.35">
      <c r="A4" s="8" t="s">
        <v>5</v>
      </c>
      <c r="B4" s="8" t="s">
        <v>6</v>
      </c>
      <c r="O4" t="s">
        <v>47</v>
      </c>
      <c r="P4" t="s">
        <v>48</v>
      </c>
    </row>
    <row r="5" spans="1:16" x14ac:dyDescent="0.35">
      <c r="A5" s="8" t="s">
        <v>7</v>
      </c>
      <c r="B5" s="1">
        <v>100491.48</v>
      </c>
      <c r="C5" s="1">
        <v>89458.335999999996</v>
      </c>
      <c r="D5" s="1">
        <v>99931.520000000004</v>
      </c>
      <c r="E5" s="1">
        <v>90536.45</v>
      </c>
      <c r="F5" s="1">
        <v>91076.63</v>
      </c>
      <c r="G5" s="1">
        <v>81263.11</v>
      </c>
      <c r="H5" s="1">
        <v>83667.55</v>
      </c>
      <c r="I5" s="1">
        <v>83281.23</v>
      </c>
      <c r="J5" s="1">
        <v>83395.64</v>
      </c>
      <c r="K5" s="1">
        <v>90779.4</v>
      </c>
      <c r="L5" s="1">
        <v>95113.3</v>
      </c>
      <c r="M5" s="1">
        <v>103036.03</v>
      </c>
      <c r="N5" s="13">
        <f>SUM(B5:M5)</f>
        <v>1092030.6760000002</v>
      </c>
      <c r="O5" s="2">
        <f>N5/1000</f>
        <v>1092.0306760000003</v>
      </c>
      <c r="P5" s="17">
        <f>O5/64</f>
        <v>17.062979312500005</v>
      </c>
    </row>
    <row r="6" spans="1:16" s="3" customFormat="1" x14ac:dyDescent="0.35">
      <c r="A6" s="10" t="s">
        <v>8</v>
      </c>
      <c r="B6" s="4">
        <v>646983.25</v>
      </c>
      <c r="C6" s="4">
        <v>486963.38</v>
      </c>
      <c r="D6" s="4">
        <v>368457.72</v>
      </c>
      <c r="E6" s="4">
        <v>202264.06</v>
      </c>
      <c r="F6" s="4">
        <v>85966.63</v>
      </c>
      <c r="G6" s="4">
        <v>0</v>
      </c>
      <c r="H6" s="4">
        <v>0</v>
      </c>
      <c r="I6" s="4">
        <v>0</v>
      </c>
      <c r="J6" s="4">
        <v>0</v>
      </c>
      <c r="K6" s="4">
        <v>85971.87</v>
      </c>
      <c r="L6" s="4">
        <v>398250.22</v>
      </c>
      <c r="M6" s="4">
        <v>658910.80000000005</v>
      </c>
      <c r="N6" s="14">
        <f t="shared" ref="N6:N11" si="0">SUM(B6:M6)</f>
        <v>2933767.9299999997</v>
      </c>
      <c r="O6" s="5">
        <f>N6/1000</f>
        <v>2933.7679299999995</v>
      </c>
      <c r="P6" s="17">
        <f>O6/64</f>
        <v>45.840123906249993</v>
      </c>
    </row>
    <row r="7" spans="1:16" x14ac:dyDescent="0.35">
      <c r="A7" s="8" t="s">
        <v>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3">
        <f t="shared" si="0"/>
        <v>0</v>
      </c>
      <c r="O7" s="2">
        <f t="shared" ref="O7:O9" si="1">N7/1000</f>
        <v>0</v>
      </c>
      <c r="P7" s="2">
        <f t="shared" ref="P7:P9" si="2">O7/64</f>
        <v>0</v>
      </c>
    </row>
    <row r="8" spans="1:16" x14ac:dyDescent="0.35">
      <c r="A8" s="8" t="s">
        <v>10</v>
      </c>
      <c r="B8" s="1">
        <v>1050939.2</v>
      </c>
      <c r="C8" s="1">
        <v>805358.6</v>
      </c>
      <c r="D8" s="1">
        <v>643321.19999999995</v>
      </c>
      <c r="E8" s="1">
        <v>390142.2</v>
      </c>
      <c r="F8" s="1">
        <v>222392.27</v>
      </c>
      <c r="G8" s="1">
        <v>87379.7</v>
      </c>
      <c r="H8" s="1">
        <v>89965.11</v>
      </c>
      <c r="I8" s="1">
        <v>89549.7</v>
      </c>
      <c r="J8" s="1">
        <v>89672.75</v>
      </c>
      <c r="K8" s="1">
        <v>222988.66</v>
      </c>
      <c r="L8" s="1">
        <v>682516.4</v>
      </c>
      <c r="M8" s="1">
        <v>1071071.2</v>
      </c>
      <c r="N8" s="13">
        <f t="shared" si="0"/>
        <v>5445296.9900000012</v>
      </c>
      <c r="O8" s="2">
        <f t="shared" si="1"/>
        <v>5445.2969900000007</v>
      </c>
      <c r="P8" s="2">
        <f t="shared" si="2"/>
        <v>85.082765468750011</v>
      </c>
    </row>
    <row r="9" spans="1:16" x14ac:dyDescent="0.35">
      <c r="A9" s="8" t="s">
        <v>11</v>
      </c>
      <c r="B9" s="1">
        <v>553</v>
      </c>
      <c r="C9" s="1">
        <v>454</v>
      </c>
      <c r="D9" s="1">
        <v>349</v>
      </c>
      <c r="E9" s="1">
        <v>225</v>
      </c>
      <c r="F9" s="1">
        <v>125</v>
      </c>
      <c r="G9" s="1">
        <v>34</v>
      </c>
      <c r="H9" s="1">
        <v>35</v>
      </c>
      <c r="I9" s="1">
        <v>35</v>
      </c>
      <c r="J9" s="1">
        <v>35</v>
      </c>
      <c r="K9" s="1">
        <v>121</v>
      </c>
      <c r="L9" s="1">
        <v>406</v>
      </c>
      <c r="M9" s="1">
        <v>554</v>
      </c>
      <c r="N9" s="13">
        <f t="shared" si="0"/>
        <v>2926</v>
      </c>
      <c r="O9" s="2">
        <f t="shared" si="1"/>
        <v>2.9260000000000002</v>
      </c>
      <c r="P9" s="2">
        <f t="shared" si="2"/>
        <v>4.5718750000000002E-2</v>
      </c>
    </row>
    <row r="10" spans="1:16" x14ac:dyDescent="0.35">
      <c r="A10" s="8" t="s">
        <v>12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3">
        <f>SUM(B10:M10)</f>
        <v>0</v>
      </c>
    </row>
    <row r="11" spans="1:16" x14ac:dyDescent="0.35">
      <c r="A11" s="8" t="s">
        <v>13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3">
        <f t="shared" si="0"/>
        <v>0</v>
      </c>
    </row>
    <row r="12" spans="1:16" x14ac:dyDescent="0.35">
      <c r="A12" s="8" t="s">
        <v>14</v>
      </c>
    </row>
    <row r="13" spans="1:16" x14ac:dyDescent="0.35">
      <c r="A13" s="8" t="s">
        <v>15</v>
      </c>
    </row>
    <row r="14" spans="1:16" x14ac:dyDescent="0.35">
      <c r="A14" s="8" t="s">
        <v>16</v>
      </c>
      <c r="B14" t="s">
        <v>17</v>
      </c>
    </row>
    <row r="15" spans="1:16" s="6" customFormat="1" x14ac:dyDescent="0.35">
      <c r="A15" s="11" t="s">
        <v>18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480</v>
      </c>
      <c r="H15" s="7">
        <v>496</v>
      </c>
      <c r="I15" s="7">
        <v>496</v>
      </c>
      <c r="J15" s="7">
        <v>480</v>
      </c>
      <c r="K15" s="7">
        <v>0</v>
      </c>
      <c r="L15" s="7">
        <v>0</v>
      </c>
      <c r="M15" s="7">
        <v>0</v>
      </c>
      <c r="N15" s="15">
        <f>SUM(B15:M15)</f>
        <v>1952</v>
      </c>
    </row>
    <row r="16" spans="1:16" s="3" customFormat="1" x14ac:dyDescent="0.35">
      <c r="A16" s="10" t="s">
        <v>19</v>
      </c>
      <c r="B16" s="4">
        <v>744</v>
      </c>
      <c r="C16" s="4">
        <v>672</v>
      </c>
      <c r="D16" s="4">
        <v>744</v>
      </c>
      <c r="E16" s="4">
        <v>720</v>
      </c>
      <c r="F16" s="4">
        <v>744</v>
      </c>
      <c r="G16" s="4">
        <v>0</v>
      </c>
      <c r="H16" s="4">
        <v>0</v>
      </c>
      <c r="I16" s="4">
        <v>0</v>
      </c>
      <c r="J16" s="4">
        <v>0</v>
      </c>
      <c r="K16" s="4">
        <v>744</v>
      </c>
      <c r="L16" s="4">
        <v>720</v>
      </c>
      <c r="M16" s="4">
        <v>744</v>
      </c>
      <c r="N16" s="14">
        <f t="shared" ref="N16:N21" si="3">SUM(B16:M16)</f>
        <v>5832</v>
      </c>
    </row>
    <row r="17" spans="1:16" s="6" customFormat="1" x14ac:dyDescent="0.35">
      <c r="A17" s="11" t="s">
        <v>20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29</v>
      </c>
      <c r="H17" s="7">
        <v>123</v>
      </c>
      <c r="I17" s="7">
        <v>144</v>
      </c>
      <c r="J17" s="7">
        <v>77</v>
      </c>
      <c r="K17" s="7">
        <v>0</v>
      </c>
      <c r="L17" s="7">
        <v>0</v>
      </c>
      <c r="M17" s="7">
        <v>0</v>
      </c>
      <c r="N17" s="15">
        <f t="shared" si="3"/>
        <v>373</v>
      </c>
    </row>
    <row r="18" spans="1:16" s="3" customFormat="1" x14ac:dyDescent="0.35">
      <c r="A18" s="10" t="s">
        <v>21</v>
      </c>
      <c r="B18" s="4">
        <v>23</v>
      </c>
      <c r="C18" s="4">
        <v>16</v>
      </c>
      <c r="D18" s="4">
        <v>11</v>
      </c>
      <c r="E18" s="4">
        <v>1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5</v>
      </c>
      <c r="M18" s="4">
        <v>16</v>
      </c>
      <c r="N18" s="14">
        <f t="shared" si="3"/>
        <v>72</v>
      </c>
    </row>
    <row r="19" spans="1:16" s="6" customFormat="1" x14ac:dyDescent="0.35">
      <c r="A19" s="11" t="s">
        <v>22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15">
        <f t="shared" si="3"/>
        <v>0</v>
      </c>
      <c r="O19" s="2">
        <f t="shared" ref="O19:O22" si="4">N19/1000</f>
        <v>0</v>
      </c>
    </row>
    <row r="20" spans="1:16" x14ac:dyDescent="0.35">
      <c r="A20" s="8" t="s">
        <v>23</v>
      </c>
      <c r="B20" s="1">
        <v>646983.25</v>
      </c>
      <c r="C20" s="1">
        <v>486963.3</v>
      </c>
      <c r="D20" s="1">
        <v>368457.72</v>
      </c>
      <c r="E20" s="1">
        <v>202264.06</v>
      </c>
      <c r="F20" s="1">
        <v>85966.63</v>
      </c>
      <c r="G20" s="1">
        <v>0</v>
      </c>
      <c r="H20" s="1">
        <v>0</v>
      </c>
      <c r="I20" s="1">
        <v>0</v>
      </c>
      <c r="J20" s="1">
        <v>0</v>
      </c>
      <c r="K20" s="1">
        <v>85971.87</v>
      </c>
      <c r="L20" s="1">
        <v>398250.22</v>
      </c>
      <c r="M20" s="1">
        <v>658910.9</v>
      </c>
      <c r="N20" s="13">
        <f>SUM(B20:M20)</f>
        <v>2933767.9499999997</v>
      </c>
      <c r="O20" s="2">
        <f t="shared" si="4"/>
        <v>2933.7679499999999</v>
      </c>
    </row>
    <row r="21" spans="1:16" s="6" customFormat="1" x14ac:dyDescent="0.35">
      <c r="A21" s="11" t="s">
        <v>24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16355.625</v>
      </c>
      <c r="H21" s="7">
        <v>108223.734</v>
      </c>
      <c r="I21" s="7">
        <v>99330.32</v>
      </c>
      <c r="J21" s="7">
        <v>46563.387000000002</v>
      </c>
      <c r="K21" s="7">
        <v>0</v>
      </c>
      <c r="L21" s="7">
        <v>0</v>
      </c>
      <c r="M21" s="7">
        <v>0</v>
      </c>
      <c r="N21" s="15">
        <f t="shared" si="3"/>
        <v>270473.06599999999</v>
      </c>
      <c r="O21" s="2">
        <f t="shared" si="4"/>
        <v>270.47306600000002</v>
      </c>
      <c r="P21" s="17">
        <f>O21/64</f>
        <v>4.2261416562500003</v>
      </c>
    </row>
    <row r="22" spans="1:16" s="3" customFormat="1" x14ac:dyDescent="0.35">
      <c r="A22" s="10" t="s">
        <v>25</v>
      </c>
      <c r="B22" s="4">
        <v>13008.164000000001</v>
      </c>
      <c r="C22" s="4">
        <v>9872.643</v>
      </c>
      <c r="D22" s="4">
        <v>6394.3573999999999</v>
      </c>
      <c r="E22" s="4">
        <v>372.22314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2596.2446</v>
      </c>
      <c r="M22" s="4">
        <v>10207.709000000001</v>
      </c>
      <c r="N22" s="14">
        <f>SUM(B22:M22)</f>
        <v>42451.341140000004</v>
      </c>
      <c r="O22" s="2">
        <f t="shared" si="4"/>
        <v>42.451341140000004</v>
      </c>
    </row>
    <row r="23" spans="1:16" x14ac:dyDescent="0.35">
      <c r="A23" s="8" t="s">
        <v>26</v>
      </c>
    </row>
    <row r="24" spans="1:16" x14ac:dyDescent="0.35">
      <c r="A24" s="8" t="s">
        <v>15</v>
      </c>
    </row>
    <row r="25" spans="1:16" x14ac:dyDescent="0.35">
      <c r="A25" s="8" t="s">
        <v>27</v>
      </c>
      <c r="B25" t="s">
        <v>28</v>
      </c>
    </row>
    <row r="26" spans="1:16" x14ac:dyDescent="0.35">
      <c r="A26" s="8" t="s">
        <v>29</v>
      </c>
      <c r="B26" s="1">
        <v>620</v>
      </c>
      <c r="C26" s="1">
        <v>560</v>
      </c>
      <c r="D26" s="1">
        <v>620</v>
      </c>
      <c r="E26" s="1">
        <v>600</v>
      </c>
      <c r="F26" s="1">
        <v>620</v>
      </c>
      <c r="G26" s="1">
        <v>600</v>
      </c>
      <c r="H26" s="1">
        <v>620</v>
      </c>
      <c r="I26" s="1">
        <v>620</v>
      </c>
      <c r="J26" s="1">
        <v>600</v>
      </c>
      <c r="K26" s="1">
        <v>620</v>
      </c>
      <c r="L26" s="1">
        <v>600</v>
      </c>
      <c r="M26" s="1">
        <v>620</v>
      </c>
      <c r="N26" s="13">
        <f t="shared" ref="N26:N30" si="5">SUM(B26:M26)</f>
        <v>7300</v>
      </c>
    </row>
    <row r="27" spans="1:16" x14ac:dyDescent="0.35">
      <c r="A27" s="8" t="s">
        <v>30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3">
        <f t="shared" si="5"/>
        <v>0</v>
      </c>
    </row>
    <row r="28" spans="1:16" x14ac:dyDescent="0.35">
      <c r="A28" s="8" t="s">
        <v>31</v>
      </c>
      <c r="B28" s="1">
        <v>84507.733999999997</v>
      </c>
      <c r="C28" s="1">
        <v>74964.179999999993</v>
      </c>
      <c r="D28" s="1">
        <v>81484.31</v>
      </c>
      <c r="E28" s="1">
        <v>74539.789999999994</v>
      </c>
      <c r="F28" s="1">
        <v>74000.789999999994</v>
      </c>
      <c r="G28" s="1">
        <v>67225.009999999995</v>
      </c>
      <c r="H28" s="1">
        <v>64930.46</v>
      </c>
      <c r="I28" s="1">
        <v>66442.13</v>
      </c>
      <c r="J28" s="1">
        <v>67225.009999999995</v>
      </c>
      <c r="K28" s="1">
        <v>75437.195000000007</v>
      </c>
      <c r="L28" s="1">
        <v>78855.75</v>
      </c>
      <c r="M28" s="1">
        <v>84507.733999999997</v>
      </c>
      <c r="N28" s="13">
        <f t="shared" si="5"/>
        <v>894120.09299999988</v>
      </c>
    </row>
    <row r="29" spans="1:16" x14ac:dyDescent="0.35">
      <c r="A29" s="8" t="s">
        <v>32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3">
        <f t="shared" si="5"/>
        <v>0</v>
      </c>
    </row>
    <row r="30" spans="1:16" x14ac:dyDescent="0.35">
      <c r="A30" s="8" t="s">
        <v>33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3">
        <f t="shared" si="5"/>
        <v>0</v>
      </c>
    </row>
    <row r="31" spans="1:16" x14ac:dyDescent="0.35">
      <c r="A31" t="s">
        <v>15</v>
      </c>
      <c r="B31" s="8" t="s">
        <v>34</v>
      </c>
      <c r="C31" s="8" t="s">
        <v>35</v>
      </c>
      <c r="D31" s="8" t="s">
        <v>36</v>
      </c>
      <c r="E31" s="8" t="s">
        <v>37</v>
      </c>
      <c r="F31" s="8" t="s">
        <v>38</v>
      </c>
      <c r="G31" s="9" t="s">
        <v>39</v>
      </c>
      <c r="H31" s="9" t="s">
        <v>40</v>
      </c>
      <c r="I31" s="9" t="s">
        <v>41</v>
      </c>
      <c r="J31" s="9" t="s">
        <v>42</v>
      </c>
      <c r="K31" s="8" t="s">
        <v>43</v>
      </c>
      <c r="L31" s="8" t="s">
        <v>44</v>
      </c>
      <c r="M31" s="8" t="s">
        <v>45</v>
      </c>
      <c r="N31" s="16" t="s">
        <v>46</v>
      </c>
    </row>
    <row r="32" spans="1:16" x14ac:dyDescent="0.35">
      <c r="B32" s="1">
        <v>31</v>
      </c>
      <c r="C32" s="1">
        <v>28</v>
      </c>
      <c r="D32" s="1">
        <v>31</v>
      </c>
      <c r="E32" s="1">
        <v>30</v>
      </c>
      <c r="F32" s="1">
        <v>31</v>
      </c>
      <c r="G32" s="1">
        <v>30</v>
      </c>
      <c r="H32" s="1">
        <v>31</v>
      </c>
      <c r="I32" s="1">
        <v>31</v>
      </c>
      <c r="J32" s="1">
        <v>30</v>
      </c>
      <c r="K32" s="1">
        <v>31</v>
      </c>
      <c r="L32" s="1">
        <v>30</v>
      </c>
      <c r="M32" s="1">
        <v>31</v>
      </c>
      <c r="N32" s="13">
        <f>SUM(B32:M32)</f>
        <v>365</v>
      </c>
    </row>
    <row r="33" spans="1:13" x14ac:dyDescent="0.35">
      <c r="A33" s="8" t="s">
        <v>49</v>
      </c>
      <c r="B33">
        <f>B26/B32</f>
        <v>20</v>
      </c>
      <c r="C33">
        <f t="shared" ref="C33:M33" si="6">C26/C32</f>
        <v>20</v>
      </c>
      <c r="D33">
        <f t="shared" si="6"/>
        <v>20</v>
      </c>
      <c r="E33">
        <f t="shared" si="6"/>
        <v>20</v>
      </c>
      <c r="F33">
        <f t="shared" si="6"/>
        <v>20</v>
      </c>
      <c r="G33">
        <f t="shared" si="6"/>
        <v>20</v>
      </c>
      <c r="H33">
        <f t="shared" si="6"/>
        <v>20</v>
      </c>
      <c r="I33">
        <f t="shared" si="6"/>
        <v>20</v>
      </c>
      <c r="J33">
        <f t="shared" si="6"/>
        <v>20</v>
      </c>
      <c r="K33">
        <f t="shared" si="6"/>
        <v>20</v>
      </c>
      <c r="L33">
        <f t="shared" si="6"/>
        <v>20</v>
      </c>
      <c r="M33">
        <f t="shared" si="6"/>
        <v>20</v>
      </c>
    </row>
  </sheetData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5146F-D48F-4BC3-95FD-B5A4EAEFD094}">
  <dimension ref="A1:E13"/>
  <sheetViews>
    <sheetView tabSelected="1" workbookViewId="0">
      <selection activeCell="E1" sqref="E1"/>
    </sheetView>
  </sheetViews>
  <sheetFormatPr defaultRowHeight="14.5" x14ac:dyDescent="0.35"/>
  <cols>
    <col min="2" max="2" width="17.7265625" bestFit="1" customWidth="1"/>
    <col min="3" max="3" width="17.54296875" bestFit="1" customWidth="1"/>
    <col min="4" max="4" width="18.08984375" style="1" bestFit="1" customWidth="1"/>
  </cols>
  <sheetData>
    <row r="1" spans="1:5" x14ac:dyDescent="0.35">
      <c r="A1" t="s">
        <v>50</v>
      </c>
      <c r="B1" s="8" t="s">
        <v>51</v>
      </c>
      <c r="C1" s="18" t="s">
        <v>52</v>
      </c>
      <c r="D1" s="20" t="s">
        <v>53</v>
      </c>
      <c r="E1" s="8" t="s">
        <v>54</v>
      </c>
    </row>
    <row r="2" spans="1:5" x14ac:dyDescent="0.35">
      <c r="A2" t="s">
        <v>34</v>
      </c>
      <c r="B2" s="1">
        <v>100491.48</v>
      </c>
      <c r="C2" s="19">
        <v>646983.25</v>
      </c>
      <c r="D2" s="1">
        <v>0</v>
      </c>
      <c r="E2">
        <v>126.74</v>
      </c>
    </row>
    <row r="3" spans="1:5" x14ac:dyDescent="0.35">
      <c r="A3" t="s">
        <v>35</v>
      </c>
      <c r="B3" s="1">
        <v>89458.335999999996</v>
      </c>
      <c r="C3" s="19">
        <v>486963.38</v>
      </c>
      <c r="D3" s="1">
        <v>0</v>
      </c>
      <c r="E3">
        <v>132.68</v>
      </c>
    </row>
    <row r="4" spans="1:5" x14ac:dyDescent="0.35">
      <c r="A4" t="s">
        <v>36</v>
      </c>
      <c r="B4" s="1">
        <v>99931.520000000004</v>
      </c>
      <c r="C4" s="19">
        <v>368457.72</v>
      </c>
      <c r="D4" s="1">
        <v>0</v>
      </c>
      <c r="E4">
        <v>163.68</v>
      </c>
    </row>
    <row r="5" spans="1:5" x14ac:dyDescent="0.35">
      <c r="A5" t="s">
        <v>37</v>
      </c>
      <c r="B5" s="1">
        <v>90536.45</v>
      </c>
      <c r="C5" s="19">
        <v>202264.06</v>
      </c>
      <c r="D5" s="1">
        <v>0</v>
      </c>
      <c r="E5">
        <v>162.94</v>
      </c>
    </row>
    <row r="6" spans="1:5" x14ac:dyDescent="0.35">
      <c r="A6" t="s">
        <v>38</v>
      </c>
      <c r="B6" s="1">
        <v>91076.63</v>
      </c>
      <c r="C6" s="19">
        <v>85966.63</v>
      </c>
      <c r="D6" s="1">
        <v>0</v>
      </c>
      <c r="E6">
        <v>174.08</v>
      </c>
    </row>
    <row r="7" spans="1:5" x14ac:dyDescent="0.35">
      <c r="A7" t="s">
        <v>39</v>
      </c>
      <c r="B7" s="1">
        <v>81263.11</v>
      </c>
      <c r="C7" s="19">
        <v>0</v>
      </c>
      <c r="D7" s="1">
        <v>16355.625</v>
      </c>
      <c r="E7">
        <v>178.35</v>
      </c>
    </row>
    <row r="8" spans="1:5" x14ac:dyDescent="0.35">
      <c r="A8" t="s">
        <v>40</v>
      </c>
      <c r="B8" s="1">
        <v>83667.55</v>
      </c>
      <c r="C8" s="19">
        <v>0</v>
      </c>
      <c r="D8" s="1">
        <v>108223.734</v>
      </c>
      <c r="E8">
        <v>203.97</v>
      </c>
    </row>
    <row r="9" spans="1:5" x14ac:dyDescent="0.35">
      <c r="A9" t="s">
        <v>41</v>
      </c>
      <c r="B9" s="1">
        <v>83281.23</v>
      </c>
      <c r="C9" s="19">
        <v>0</v>
      </c>
      <c r="D9" s="1">
        <v>99330.32</v>
      </c>
      <c r="E9">
        <v>198.07</v>
      </c>
    </row>
    <row r="10" spans="1:5" x14ac:dyDescent="0.35">
      <c r="A10" t="s">
        <v>42</v>
      </c>
      <c r="B10" s="1">
        <v>83395.64</v>
      </c>
      <c r="C10" s="19">
        <v>0</v>
      </c>
      <c r="D10" s="1">
        <v>46563.387000000002</v>
      </c>
      <c r="E10">
        <v>174.07</v>
      </c>
    </row>
    <row r="11" spans="1:5" x14ac:dyDescent="0.35">
      <c r="A11" t="s">
        <v>43</v>
      </c>
      <c r="B11" s="1">
        <v>90779.4</v>
      </c>
      <c r="C11" s="19">
        <v>85971.87</v>
      </c>
      <c r="D11" s="1">
        <v>0</v>
      </c>
      <c r="E11">
        <v>162.1</v>
      </c>
    </row>
    <row r="12" spans="1:5" x14ac:dyDescent="0.35">
      <c r="A12" t="s">
        <v>44</v>
      </c>
      <c r="B12" s="1">
        <v>95113.3</v>
      </c>
      <c r="C12" s="19">
        <v>398250.22</v>
      </c>
      <c r="D12" s="1">
        <v>0</v>
      </c>
      <c r="E12">
        <v>124.49</v>
      </c>
    </row>
    <row r="13" spans="1:5" x14ac:dyDescent="0.35">
      <c r="A13" t="s">
        <v>45</v>
      </c>
      <c r="B13" s="1">
        <v>103036.03</v>
      </c>
      <c r="C13" s="19">
        <v>658910.80000000005</v>
      </c>
      <c r="D13" s="1">
        <v>0</v>
      </c>
      <c r="E13">
        <v>126.1</v>
      </c>
    </row>
  </sheetData>
  <phoneticPr fontId="18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ejemploi_2526_option1_config1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Tomas Gonzalez</cp:lastModifiedBy>
  <dcterms:created xsi:type="dcterms:W3CDTF">2025-12-13T12:33:53Z</dcterms:created>
  <dcterms:modified xsi:type="dcterms:W3CDTF">2025-12-14T17:18:08Z</dcterms:modified>
</cp:coreProperties>
</file>